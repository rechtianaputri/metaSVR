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- Data Valid\"/>
    </mc:Choice>
  </mc:AlternateContent>
  <xr:revisionPtr revIDLastSave="0" documentId="13_ncr:1_{67B9B2A6-8BB6-4DF7-A2B7-6635B98BBEE2}" xr6:coauthVersionLast="47" xr6:coauthVersionMax="47" xr10:uidLastSave="{00000000-0000-0000-0000-000000000000}"/>
  <bookViews>
    <workbookView xWindow="4596" yWindow="4596" windowWidth="10116" windowHeight="6000" xr2:uid="{E23117CB-86B7-45B0-B3D1-37B64D5A6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1" l="1"/>
  <c r="L18" i="1"/>
  <c r="K18" i="1"/>
  <c r="J18" i="1"/>
  <c r="I18" i="1"/>
  <c r="H17" i="1"/>
  <c r="H18" i="1" s="1"/>
</calcChain>
</file>

<file path=xl/sharedStrings.xml><?xml version="1.0" encoding="utf-8"?>
<sst xmlns="http://schemas.openxmlformats.org/spreadsheetml/2006/main" count="32" uniqueCount="16">
  <si>
    <t>Indonesia</t>
  </si>
  <si>
    <t>Country</t>
  </si>
  <si>
    <t>Year</t>
  </si>
  <si>
    <t>Solar</t>
  </si>
  <si>
    <t>Share_Electricity</t>
  </si>
  <si>
    <t>FDI</t>
  </si>
  <si>
    <t>Inflation</t>
  </si>
  <si>
    <t>IEF</t>
  </si>
  <si>
    <t>Forest_Area</t>
  </si>
  <si>
    <t>CO2</t>
  </si>
  <si>
    <t>N2O</t>
  </si>
  <si>
    <t>Control_Corruption</t>
  </si>
  <si>
    <t>Gov_Effective</t>
  </si>
  <si>
    <t>Pop_Growth</t>
  </si>
  <si>
    <t>Urbanization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</si>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</sst>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1" applyBorder="1"/>
    <xf numFmtId="0" fontId="0" fillId="0" borderId="4" xfId="0" applyBorder="1"/>
    <xf numFmtId="0" fontId="0" fillId="0" borderId="5" xfId="0" applyBorder="1"/>
    <xf numFmtId="0" fontId="1" fillId="0" borderId="6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2">
    <cellStyle name="Normal" xfId="0" builtinId="0"/>
    <cellStyle name="Normal 2" xfId="1" xr:uid="{7938A123-AE8E-4F6B-AECE-9823BD35BE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BD41-0432-4F0F-A722-068DC436880C}">
  <dimension ref="A1:O18"/>
  <sheetViews>
    <sheetView tabSelected="1" workbookViewId="0">
      <selection activeCell="E12" sqref="E12"/>
    </sheetView>
  </sheetViews>
  <sheetFormatPr defaultRowHeight="14.4" x14ac:dyDescent="0.3"/>
  <cols>
    <col min="4" max="4" width="14.6640625" bestFit="1" customWidth="1"/>
    <col min="5" max="5" width="12" bestFit="1" customWidth="1"/>
    <col min="8" max="8" width="12" bestFit="1" customWidth="1"/>
    <col min="11" max="11" width="17" bestFit="1" customWidth="1"/>
    <col min="12" max="12" width="12.6640625" bestFit="1" customWidth="1"/>
    <col min="13" max="13" width="12" bestFit="1" customWidth="1"/>
    <col min="14" max="14" width="11.44140625" bestFit="1" customWidth="1"/>
  </cols>
  <sheetData>
    <row r="1" spans="1:15" x14ac:dyDescent="0.3">
      <c r="A1" s="3" t="s">
        <v>1</v>
      </c>
      <c r="B1" s="3" t="s">
        <v>2</v>
      </c>
      <c r="C1" s="4" t="s">
        <v>3</v>
      </c>
      <c r="D1" s="13" t="s">
        <v>4</v>
      </c>
      <c r="E1" s="12" t="s">
        <v>5</v>
      </c>
      <c r="F1" s="13" t="s">
        <v>6</v>
      </c>
      <c r="G1" s="14" t="s">
        <v>7</v>
      </c>
      <c r="H1" s="12" t="s">
        <v>8</v>
      </c>
      <c r="I1" s="13" t="s">
        <v>9</v>
      </c>
      <c r="J1" s="13" t="s">
        <v>10</v>
      </c>
      <c r="K1" s="13" t="s">
        <v>11</v>
      </c>
      <c r="L1" s="13" t="s">
        <v>12</v>
      </c>
      <c r="M1" s="12" t="s">
        <v>13</v>
      </c>
      <c r="N1" s="13" t="s">
        <v>14</v>
      </c>
      <c r="O1" s="14" t="s">
        <v>15</v>
      </c>
    </row>
    <row r="2" spans="1:15" x14ac:dyDescent="0.3">
      <c r="A2" s="1" t="s">
        <v>0</v>
      </c>
      <c r="B2" s="2">
        <v>2007</v>
      </c>
      <c r="C2" s="5">
        <v>0</v>
      </c>
      <c r="D2">
        <v>16.37</v>
      </c>
      <c r="E2" s="5">
        <v>6928480000</v>
      </c>
      <c r="F2">
        <v>6.4065628132570103</v>
      </c>
      <c r="G2" s="7">
        <v>53.2</v>
      </c>
      <c r="H2" s="6">
        <v>53.339241839896154</v>
      </c>
      <c r="I2">
        <v>387858050</v>
      </c>
      <c r="J2">
        <v>52020480</v>
      </c>
      <c r="K2">
        <v>-0.63050919771194502</v>
      </c>
      <c r="L2">
        <v>-0.30746361613273598</v>
      </c>
      <c r="M2" s="6">
        <v>1.3118475961456599</v>
      </c>
      <c r="N2">
        <v>47.534999999999997</v>
      </c>
      <c r="O2" s="7">
        <v>7.02</v>
      </c>
    </row>
    <row r="3" spans="1:15" x14ac:dyDescent="0.3">
      <c r="A3" s="1" t="s">
        <v>0</v>
      </c>
      <c r="B3" s="2">
        <v>2008</v>
      </c>
      <c r="C3" s="5">
        <v>0</v>
      </c>
      <c r="D3">
        <v>16.899999999999999</v>
      </c>
      <c r="E3" s="5">
        <v>9318453649.8266392</v>
      </c>
      <c r="F3">
        <v>10.226664547314799</v>
      </c>
      <c r="G3" s="7">
        <v>53.2</v>
      </c>
      <c r="H3" s="6">
        <v>53.252915150259462</v>
      </c>
      <c r="I3">
        <v>365718300</v>
      </c>
      <c r="J3">
        <v>53883844</v>
      </c>
      <c r="K3">
        <v>-0.63908606767654397</v>
      </c>
      <c r="L3">
        <v>-0.26271912455558799</v>
      </c>
      <c r="M3" s="6">
        <v>1.3021705350789501</v>
      </c>
      <c r="N3">
        <v>48.335000000000001</v>
      </c>
      <c r="O3" s="7">
        <v>7.07</v>
      </c>
    </row>
    <row r="4" spans="1:15" x14ac:dyDescent="0.3">
      <c r="A4" s="1" t="s">
        <v>0</v>
      </c>
      <c r="B4" s="2">
        <v>2009</v>
      </c>
      <c r="C4" s="5">
        <v>0</v>
      </c>
      <c r="D4">
        <v>16.45</v>
      </c>
      <c r="E4" s="5">
        <v>4877369178.4365101</v>
      </c>
      <c r="F4">
        <v>4.3864155501473103</v>
      </c>
      <c r="G4" s="7">
        <v>53.4</v>
      </c>
      <c r="H4" s="6">
        <v>53.166588460622762</v>
      </c>
      <c r="I4">
        <v>398942050</v>
      </c>
      <c r="J4">
        <v>56752940</v>
      </c>
      <c r="K4">
        <v>-0.88964062929153398</v>
      </c>
      <c r="L4">
        <v>-0.33005911111831698</v>
      </c>
      <c r="M4" s="6">
        <v>1.2715320899429201</v>
      </c>
      <c r="N4">
        <v>49.134</v>
      </c>
      <c r="O4" s="7">
        <v>7.31</v>
      </c>
    </row>
    <row r="5" spans="1:15" x14ac:dyDescent="0.3">
      <c r="A5" s="1" t="s">
        <v>0</v>
      </c>
      <c r="B5" s="2">
        <v>2010</v>
      </c>
      <c r="C5" s="5">
        <v>15</v>
      </c>
      <c r="D5">
        <v>19.5</v>
      </c>
      <c r="E5" s="5">
        <v>15292009410.509899</v>
      </c>
      <c r="F5">
        <v>5.1342040076792799</v>
      </c>
      <c r="G5" s="7">
        <v>55.5</v>
      </c>
      <c r="H5" s="6">
        <v>53.08026177098607</v>
      </c>
      <c r="I5">
        <v>445806080</v>
      </c>
      <c r="J5">
        <v>56059544</v>
      </c>
      <c r="K5">
        <v>-0.80353450775146495</v>
      </c>
      <c r="L5">
        <v>-0.26694101095199602</v>
      </c>
      <c r="M5" s="6">
        <v>1.2515172914041199</v>
      </c>
      <c r="N5">
        <v>49.914000000000001</v>
      </c>
      <c r="O5" s="7">
        <v>7.41</v>
      </c>
    </row>
    <row r="6" spans="1:15" x14ac:dyDescent="0.3">
      <c r="A6" s="1" t="s">
        <v>0</v>
      </c>
      <c r="B6" s="2">
        <v>2011</v>
      </c>
      <c r="C6" s="5">
        <v>17</v>
      </c>
      <c r="D6">
        <v>15.87</v>
      </c>
      <c r="E6" s="5">
        <v>20564938226.718498</v>
      </c>
      <c r="F6">
        <v>5.3560477898215</v>
      </c>
      <c r="G6" s="7">
        <v>56</v>
      </c>
      <c r="H6" s="6">
        <v>52.586919226915953</v>
      </c>
      <c r="I6">
        <v>500724540</v>
      </c>
      <c r="J6">
        <v>59024136</v>
      </c>
      <c r="K6">
        <v>-0.75587069988250699</v>
      </c>
      <c r="L6">
        <v>-0.32159194350242598</v>
      </c>
      <c r="M6" s="6">
        <v>1.2557380886131499</v>
      </c>
      <c r="N6">
        <v>50.594999999999999</v>
      </c>
      <c r="O6" s="7">
        <v>7.51</v>
      </c>
    </row>
    <row r="7" spans="1:15" x14ac:dyDescent="0.3">
      <c r="A7" s="1" t="s">
        <v>0</v>
      </c>
      <c r="B7" s="2">
        <v>2012</v>
      </c>
      <c r="C7" s="5">
        <v>26</v>
      </c>
      <c r="D7">
        <v>14.89</v>
      </c>
      <c r="E7" s="5">
        <v>21200778607.8727</v>
      </c>
      <c r="F7">
        <v>4.2794999964197498</v>
      </c>
      <c r="G7" s="7">
        <v>56.4</v>
      </c>
      <c r="H7" s="6">
        <v>52.093576682845821</v>
      </c>
      <c r="I7">
        <v>515954180</v>
      </c>
      <c r="J7">
        <v>61138224</v>
      </c>
      <c r="K7">
        <v>-0.68910580873489402</v>
      </c>
      <c r="L7">
        <v>-0.33047968149185197</v>
      </c>
      <c r="M7" s="6">
        <v>1.2559414583581101</v>
      </c>
      <c r="N7">
        <v>51.276000000000003</v>
      </c>
      <c r="O7" s="7">
        <v>7.61</v>
      </c>
    </row>
    <row r="8" spans="1:15" x14ac:dyDescent="0.3">
      <c r="A8" s="1" t="s">
        <v>0</v>
      </c>
      <c r="B8" s="2">
        <v>2013</v>
      </c>
      <c r="C8" s="5">
        <v>38</v>
      </c>
      <c r="D8">
        <v>15.76</v>
      </c>
      <c r="E8" s="5">
        <v>23281742361.530499</v>
      </c>
      <c r="F8">
        <v>6.4125133015641804</v>
      </c>
      <c r="G8" s="7">
        <v>56.9</v>
      </c>
      <c r="H8" s="6">
        <v>51.60023413877569</v>
      </c>
      <c r="I8">
        <v>489055100</v>
      </c>
      <c r="J8">
        <v>59071744</v>
      </c>
      <c r="K8">
        <v>-0.660039663314819</v>
      </c>
      <c r="L8">
        <v>-0.24391496181488001</v>
      </c>
      <c r="M8" s="6">
        <v>1.21281780987831</v>
      </c>
      <c r="N8">
        <v>51.954999999999998</v>
      </c>
      <c r="O8" s="7">
        <v>7.7</v>
      </c>
    </row>
    <row r="9" spans="1:15" x14ac:dyDescent="0.3">
      <c r="A9" s="1" t="s">
        <v>0</v>
      </c>
      <c r="B9" s="2">
        <v>2014</v>
      </c>
      <c r="C9" s="5">
        <v>42</v>
      </c>
      <c r="D9">
        <v>14.49</v>
      </c>
      <c r="E9" s="5">
        <v>25120732059.513401</v>
      </c>
      <c r="F9">
        <v>6.39492540819922</v>
      </c>
      <c r="G9" s="7">
        <v>58.5</v>
      </c>
      <c r="H9" s="6">
        <v>51.106891594705559</v>
      </c>
      <c r="I9">
        <v>487889950</v>
      </c>
      <c r="J9">
        <v>61895010</v>
      </c>
      <c r="K9">
        <v>-0.59759914875030495</v>
      </c>
      <c r="L9">
        <v>-6.6042192280292497E-2</v>
      </c>
      <c r="M9" s="6">
        <v>1.15950664180271</v>
      </c>
      <c r="N9">
        <v>52.634999999999998</v>
      </c>
      <c r="O9" s="7">
        <v>7.8</v>
      </c>
    </row>
    <row r="10" spans="1:15" x14ac:dyDescent="0.3">
      <c r="A10" s="1" t="s">
        <v>0</v>
      </c>
      <c r="B10" s="2">
        <v>2015</v>
      </c>
      <c r="C10" s="5">
        <v>79</v>
      </c>
      <c r="D10">
        <v>13.79</v>
      </c>
      <c r="E10" s="5">
        <v>19779127976.9576</v>
      </c>
      <c r="F10">
        <v>6.3631211311561202</v>
      </c>
      <c r="G10" s="7">
        <v>58.1</v>
      </c>
      <c r="H10" s="6">
        <v>50.613549050635442</v>
      </c>
      <c r="I10">
        <v>539149250</v>
      </c>
      <c r="J10">
        <v>61627420</v>
      </c>
      <c r="K10">
        <v>-0.51854813098907504</v>
      </c>
      <c r="L10">
        <v>-0.32608079910278298</v>
      </c>
      <c r="M10" s="6">
        <v>1.1108549322781001</v>
      </c>
      <c r="N10">
        <v>53.313000000000002</v>
      </c>
      <c r="O10" s="7">
        <v>7.91</v>
      </c>
    </row>
    <row r="11" spans="1:15" x14ac:dyDescent="0.3">
      <c r="A11" s="1" t="s">
        <v>0</v>
      </c>
      <c r="B11" s="2">
        <v>2016</v>
      </c>
      <c r="C11" s="5">
        <v>88</v>
      </c>
      <c r="D11">
        <v>15.37</v>
      </c>
      <c r="E11" s="5">
        <v>4541713739.23769</v>
      </c>
      <c r="F11">
        <v>3.5258051568792999</v>
      </c>
      <c r="G11" s="7">
        <v>59.4</v>
      </c>
      <c r="H11" s="6">
        <v>50.743454526958189</v>
      </c>
      <c r="I11">
        <v>540085600</v>
      </c>
      <c r="J11">
        <v>62316532</v>
      </c>
      <c r="K11">
        <v>-0.46246427297592202</v>
      </c>
      <c r="L11">
        <v>-5.1250230520963697E-2</v>
      </c>
      <c r="M11" s="6">
        <v>1.0589420586891301</v>
      </c>
      <c r="N11">
        <v>53.988999999999997</v>
      </c>
      <c r="O11" s="7">
        <v>7.98</v>
      </c>
    </row>
    <row r="12" spans="1:15" x14ac:dyDescent="0.3">
      <c r="A12" s="1" t="s">
        <v>0</v>
      </c>
      <c r="B12" s="2">
        <v>2017</v>
      </c>
      <c r="C12" s="5">
        <v>97</v>
      </c>
      <c r="D12">
        <v>16.239999999999998</v>
      </c>
      <c r="E12" s="5">
        <v>20510310832.446899</v>
      </c>
      <c r="F12">
        <v>3.8087980695315702</v>
      </c>
      <c r="G12" s="7">
        <v>61.9</v>
      </c>
      <c r="H12" s="6">
        <v>50.039333822986606</v>
      </c>
      <c r="I12">
        <v>556944200</v>
      </c>
      <c r="J12">
        <v>68158570</v>
      </c>
      <c r="K12">
        <v>-0.304816424846649</v>
      </c>
      <c r="L12">
        <v>-2.0042091608047499E-2</v>
      </c>
      <c r="M12" s="6">
        <v>1.0064395244609201</v>
      </c>
      <c r="N12">
        <v>54.658999999999999</v>
      </c>
      <c r="O12" s="7">
        <v>8.24</v>
      </c>
    </row>
    <row r="13" spans="1:15" x14ac:dyDescent="0.3">
      <c r="A13" s="1" t="s">
        <v>0</v>
      </c>
      <c r="B13" s="2">
        <v>2018</v>
      </c>
      <c r="C13" s="5">
        <v>65</v>
      </c>
      <c r="D13">
        <v>17.05</v>
      </c>
      <c r="E13" s="5">
        <v>18909826043.510502</v>
      </c>
      <c r="F13">
        <v>3.1983464156240999</v>
      </c>
      <c r="G13" s="7">
        <v>64.2</v>
      </c>
      <c r="H13" s="6">
        <v>49.71681777920756</v>
      </c>
      <c r="I13">
        <v>594101400</v>
      </c>
      <c r="J13">
        <v>71474920</v>
      </c>
      <c r="K13">
        <v>-0.29945981502532998</v>
      </c>
      <c r="L13">
        <v>0.141279011964798</v>
      </c>
      <c r="M13" s="6">
        <v>0.96620643586613897</v>
      </c>
      <c r="N13">
        <v>55.325000000000003</v>
      </c>
      <c r="O13" s="7">
        <v>8.16</v>
      </c>
    </row>
    <row r="14" spans="1:15" x14ac:dyDescent="0.3">
      <c r="A14" s="1" t="s">
        <v>0</v>
      </c>
      <c r="B14" s="2">
        <v>2019</v>
      </c>
      <c r="C14" s="5">
        <v>155</v>
      </c>
      <c r="D14">
        <v>16.260000000000002</v>
      </c>
      <c r="E14" s="5">
        <v>24993551748.0098</v>
      </c>
      <c r="F14">
        <v>3.0305866496948699</v>
      </c>
      <c r="G14" s="7">
        <v>65.8</v>
      </c>
      <c r="H14" s="6">
        <v>49.394296409250721</v>
      </c>
      <c r="I14">
        <v>650905900</v>
      </c>
      <c r="J14">
        <v>69940504</v>
      </c>
      <c r="K14">
        <v>-0.47318032383918801</v>
      </c>
      <c r="L14">
        <v>0.13876101374626201</v>
      </c>
      <c r="M14" s="6">
        <v>0.93768927363529397</v>
      </c>
      <c r="N14">
        <v>55.984999999999999</v>
      </c>
      <c r="O14" s="7">
        <v>8.36</v>
      </c>
    </row>
    <row r="15" spans="1:15" x14ac:dyDescent="0.3">
      <c r="A15" s="1" t="s">
        <v>0</v>
      </c>
      <c r="B15" s="2">
        <v>2020</v>
      </c>
      <c r="C15" s="5">
        <v>185</v>
      </c>
      <c r="D15">
        <v>18.12</v>
      </c>
      <c r="E15" s="5">
        <v>19175077747.807701</v>
      </c>
      <c r="F15">
        <v>1.9209680056684999</v>
      </c>
      <c r="G15" s="7">
        <v>67.2</v>
      </c>
      <c r="H15" s="6">
        <v>49.071780365471668</v>
      </c>
      <c r="I15">
        <v>605984600</v>
      </c>
      <c r="J15">
        <v>72695800</v>
      </c>
      <c r="K15">
        <v>-0.454076617956162</v>
      </c>
      <c r="L15">
        <v>0.317363321781158</v>
      </c>
      <c r="M15" s="6">
        <v>0.84038926812804804</v>
      </c>
      <c r="N15">
        <v>56.640999999999998</v>
      </c>
      <c r="O15" s="7">
        <v>8.56</v>
      </c>
    </row>
    <row r="16" spans="1:15" x14ac:dyDescent="0.3">
      <c r="A16" s="1" t="s">
        <v>0</v>
      </c>
      <c r="B16" s="2">
        <v>2021</v>
      </c>
      <c r="C16" s="5">
        <v>225</v>
      </c>
      <c r="D16">
        <v>18.170000000000002</v>
      </c>
      <c r="E16" s="5">
        <v>21213080329.858299</v>
      </c>
      <c r="F16">
        <v>1.5601299052567299</v>
      </c>
      <c r="G16" s="7">
        <v>66.900000000000006</v>
      </c>
      <c r="H16" s="6">
        <v>48.36194486812056</v>
      </c>
      <c r="I16">
        <v>615923400</v>
      </c>
      <c r="J16">
        <v>73573896</v>
      </c>
      <c r="K16">
        <v>-0.44907468557357799</v>
      </c>
      <c r="L16">
        <v>0.34736311435699502</v>
      </c>
      <c r="M16" s="6">
        <v>0.694717688319757</v>
      </c>
      <c r="N16">
        <v>57.29</v>
      </c>
      <c r="O16" s="7">
        <v>8.56</v>
      </c>
    </row>
    <row r="17" spans="1:15" x14ac:dyDescent="0.3">
      <c r="A17" s="1" t="s">
        <v>0</v>
      </c>
      <c r="B17" s="2">
        <v>2022</v>
      </c>
      <c r="C17" s="5">
        <v>313</v>
      </c>
      <c r="D17">
        <v>19.61</v>
      </c>
      <c r="E17" s="5">
        <v>24702029705.092602</v>
      </c>
      <c r="F17">
        <v>4.2094638340216504</v>
      </c>
      <c r="G17" s="7">
        <v>64.400000000000006</v>
      </c>
      <c r="H17" s="6">
        <f>((H15-H14)/H14)*H16+H16</f>
        <v>48.04616947982278</v>
      </c>
      <c r="I17">
        <v>728883260</v>
      </c>
      <c r="J17">
        <v>75589670</v>
      </c>
      <c r="K17">
        <v>-0.43491065502166698</v>
      </c>
      <c r="L17">
        <v>0.436999291181564</v>
      </c>
      <c r="M17" s="6">
        <v>0.63655511514643903</v>
      </c>
      <c r="N17">
        <v>57.933999999999997</v>
      </c>
      <c r="O17" s="7">
        <v>8.56</v>
      </c>
    </row>
    <row r="18" spans="1:15" ht="15" thickBot="1" x14ac:dyDescent="0.35">
      <c r="A18" s="1" t="s">
        <v>0</v>
      </c>
      <c r="B18" s="2">
        <v>2023</v>
      </c>
      <c r="C18" s="8">
        <v>574</v>
      </c>
      <c r="D18" s="9">
        <v>18.59</v>
      </c>
      <c r="E18" s="8">
        <v>22085914486.099201</v>
      </c>
      <c r="F18" s="9">
        <v>3.6701314237700702</v>
      </c>
      <c r="G18" s="10">
        <v>63.5</v>
      </c>
      <c r="H18" s="11">
        <f>((H16-H15)/H15)*H17+H17</f>
        <v>47.351169698797456</v>
      </c>
      <c r="I18" s="9">
        <f>ROUND(((I17-I16)/I16)*I17+I17,1)</f>
        <v>862559868.20000005</v>
      </c>
      <c r="J18" s="9">
        <f>ROUND(((J17-J16)/J16)*J17+J17,2)</f>
        <v>77660672.079999998</v>
      </c>
      <c r="K18" s="9">
        <f>((K17-K16)/K16)*K17+K17</f>
        <v>-0.42119336477358588</v>
      </c>
      <c r="L18" s="9">
        <f>((L17-L16)/L16)*L17+L17</f>
        <v>0.54976585768667907</v>
      </c>
      <c r="M18" s="11">
        <v>0.73513989541826597</v>
      </c>
      <c r="N18" s="9">
        <v>58.572000000000003</v>
      </c>
      <c r="O18" s="10">
        <f>ROUND(((O17-O16)/O16)*O17+O17,2)</f>
        <v>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2024-12-08T08:19:22Z</dcterms:created>
  <dcterms:modified xsi:type="dcterms:W3CDTF">2025-05-15T21:32:59Z</dcterms:modified>
</cp:coreProperties>
</file>