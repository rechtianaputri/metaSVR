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2 - Data Valid\"/>
    </mc:Choice>
  </mc:AlternateContent>
  <xr:revisionPtr revIDLastSave="0" documentId="13_ncr:1_{B7B2F9A4-6725-49C9-B7E3-1B7CCF6958AE}" xr6:coauthVersionLast="47" xr6:coauthVersionMax="47" xr10:uidLastSave="{00000000-0000-0000-0000-000000000000}"/>
  <bookViews>
    <workbookView xWindow="5892" yWindow="0" windowWidth="10116" windowHeight="6000" xr2:uid="{D4042338-21D5-4A0A-BD49-FEBAB410B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8" i="1" l="1"/>
  <c r="V18" i="1"/>
  <c r="U18" i="1"/>
  <c r="T18" i="1"/>
  <c r="R18" i="1"/>
  <c r="Q18" i="1"/>
  <c r="H18" i="1"/>
  <c r="P17" i="1"/>
  <c r="P18" i="1" s="1"/>
  <c r="F17" i="1"/>
  <c r="F18" i="1" s="1"/>
</calcChain>
</file>

<file path=xl/sharedStrings.xml><?xml version="1.0" encoding="utf-8"?>
<sst xmlns="http://schemas.openxmlformats.org/spreadsheetml/2006/main" count="43" uniqueCount="27">
  <si>
    <t>Philippines</t>
  </si>
  <si>
    <t>Country</t>
  </si>
  <si>
    <t>Year</t>
  </si>
  <si>
    <t>Solar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</si>
  <si>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</si>
  <si>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</si>
  <si>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</si>
  <si>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</si>
  <si>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</si>
  <si>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</si>
  <si>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</si>
  <si>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FDI</t>
  </si>
  <si>
    <t>GDP_Growth</t>
  </si>
  <si>
    <t>GDP_PKP</t>
  </si>
  <si>
    <t>Inflation</t>
  </si>
  <si>
    <t>IEF</t>
  </si>
  <si>
    <t>Forest_Area</t>
  </si>
  <si>
    <t>CO2</t>
  </si>
  <si>
    <t>N2O</t>
  </si>
  <si>
    <t>Carbon_Intensity</t>
  </si>
  <si>
    <t>Control_Corruption</t>
  </si>
  <si>
    <t>Gov_Effective</t>
  </si>
  <si>
    <t>Regulatory_Quality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</si>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</sst>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1" xfId="1" applyBorder="1"/>
    <xf numFmtId="0" fontId="1" fillId="0" borderId="2" xfId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</cellXfs>
  <cellStyles count="2">
    <cellStyle name="Normal" xfId="0" builtinId="0"/>
    <cellStyle name="Normal 2" xfId="1" xr:uid="{4440D2F2-13CA-451C-A0AD-55650F622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F3A7-405B-4F3D-A581-14E24764E634}">
  <dimension ref="A1:Z18"/>
  <sheetViews>
    <sheetView tabSelected="1" workbookViewId="0">
      <selection activeCell="D1" sqref="D1:E1048576"/>
    </sheetView>
  </sheetViews>
  <sheetFormatPr defaultRowHeight="14.4" x14ac:dyDescent="0.3"/>
  <cols>
    <col min="1" max="1" width="9.5546875" bestFit="1" customWidth="1"/>
    <col min="4" max="4" width="14.6640625" bestFit="1" customWidth="1"/>
    <col min="5" max="5" width="10.21875" bestFit="1" customWidth="1"/>
    <col min="6" max="6" width="15" bestFit="1" customWidth="1"/>
    <col min="7" max="7" width="12.109375" bestFit="1" customWidth="1"/>
    <col min="8" max="8" width="10.77734375" bestFit="1" customWidth="1"/>
    <col min="9" max="9" width="13.6640625" bestFit="1" customWidth="1"/>
    <col min="10" max="10" width="16.21875" bestFit="1" customWidth="1"/>
    <col min="11" max="11" width="12" bestFit="1" customWidth="1"/>
    <col min="12" max="12" width="12.6640625" bestFit="1" customWidth="1"/>
    <col min="13" max="14" width="12" bestFit="1" customWidth="1"/>
    <col min="16" max="18" width="12" bestFit="1" customWidth="1"/>
    <col min="19" max="19" width="15" bestFit="1" customWidth="1"/>
    <col min="20" max="20" width="17" bestFit="1" customWidth="1"/>
    <col min="21" max="21" width="12.6640625" bestFit="1" customWidth="1"/>
    <col min="22" max="22" width="16.6640625" bestFit="1" customWidth="1"/>
    <col min="23" max="23" width="12" bestFit="1" customWidth="1"/>
    <col min="24" max="24" width="11.44140625" bestFit="1" customWidth="1"/>
    <col min="25" max="25" width="13.6640625" bestFit="1" customWidth="1"/>
    <col min="26" max="26" width="9.109375" bestFit="1" customWidth="1"/>
  </cols>
  <sheetData>
    <row r="1" spans="1:26" x14ac:dyDescent="0.3">
      <c r="A1" s="7" t="s">
        <v>1</v>
      </c>
      <c r="B1" s="7" t="s">
        <v>2</v>
      </c>
      <c r="C1" s="8" t="s">
        <v>3</v>
      </c>
      <c r="D1" s="9" t="s">
        <v>4</v>
      </c>
      <c r="E1" s="9" t="s">
        <v>5</v>
      </c>
      <c r="F1" s="10" t="s">
        <v>6</v>
      </c>
      <c r="G1" s="8" t="s">
        <v>7</v>
      </c>
      <c r="H1" s="9" t="s">
        <v>8</v>
      </c>
      <c r="I1" s="9" t="s">
        <v>9</v>
      </c>
      <c r="J1" s="9" t="s">
        <v>10</v>
      </c>
      <c r="K1" s="8" t="s">
        <v>11</v>
      </c>
      <c r="L1" s="9" t="s">
        <v>12</v>
      </c>
      <c r="M1" s="9" t="s">
        <v>13</v>
      </c>
      <c r="N1" s="9" t="s">
        <v>14</v>
      </c>
      <c r="O1" s="10" t="s">
        <v>15</v>
      </c>
      <c r="P1" s="8" t="s">
        <v>16</v>
      </c>
      <c r="Q1" s="9" t="s">
        <v>17</v>
      </c>
      <c r="R1" s="9" t="s">
        <v>18</v>
      </c>
      <c r="S1" s="10" t="s">
        <v>19</v>
      </c>
      <c r="T1" s="9" t="s">
        <v>20</v>
      </c>
      <c r="U1" s="9" t="s">
        <v>21</v>
      </c>
      <c r="V1" s="9" t="s">
        <v>22</v>
      </c>
      <c r="W1" s="8" t="s">
        <v>23</v>
      </c>
      <c r="X1" s="9" t="s">
        <v>24</v>
      </c>
      <c r="Y1" s="9" t="s">
        <v>25</v>
      </c>
      <c r="Z1" s="10" t="s">
        <v>26</v>
      </c>
    </row>
    <row r="2" spans="1:26" x14ac:dyDescent="0.3">
      <c r="A2" s="1" t="s">
        <v>0</v>
      </c>
      <c r="B2" s="2">
        <v>2007</v>
      </c>
      <c r="C2" s="3">
        <v>1</v>
      </c>
      <c r="D2">
        <v>31.6</v>
      </c>
      <c r="E2">
        <v>0.23</v>
      </c>
      <c r="F2" s="4">
        <v>32.4</v>
      </c>
      <c r="G2" s="5">
        <v>59.62</v>
      </c>
      <c r="H2">
        <v>82</v>
      </c>
      <c r="I2">
        <v>3537.23</v>
      </c>
      <c r="J2">
        <v>18.819444444444443</v>
      </c>
      <c r="K2" s="3">
        <v>2918724840.5040698</v>
      </c>
      <c r="L2">
        <v>6.5192915501893793</v>
      </c>
      <c r="M2">
        <v>1741.6035114489493</v>
      </c>
      <c r="N2">
        <v>2.9000000000000301</v>
      </c>
      <c r="O2" s="6">
        <v>56</v>
      </c>
      <c r="P2" s="5">
        <v>23.411416306134086</v>
      </c>
      <c r="Q2">
        <v>70795900</v>
      </c>
      <c r="R2">
        <v>11483680</v>
      </c>
      <c r="S2" s="6">
        <v>452.03</v>
      </c>
      <c r="T2">
        <v>-0.77800518274307295</v>
      </c>
      <c r="U2">
        <v>0.106631629168987</v>
      </c>
      <c r="V2">
        <v>-0.12692703306674999</v>
      </c>
      <c r="W2" s="5">
        <v>1.87034863111627</v>
      </c>
      <c r="X2">
        <v>45.54</v>
      </c>
      <c r="Y2">
        <v>3.4340000000000002</v>
      </c>
      <c r="Z2" s="6">
        <v>8.69</v>
      </c>
    </row>
    <row r="3" spans="1:26" x14ac:dyDescent="0.3">
      <c r="A3" s="1" t="s">
        <v>0</v>
      </c>
      <c r="B3" s="2">
        <v>2008</v>
      </c>
      <c r="C3" s="3">
        <v>1</v>
      </c>
      <c r="D3">
        <v>33.9</v>
      </c>
      <c r="E3">
        <v>0.19</v>
      </c>
      <c r="F3" s="4">
        <v>33.9</v>
      </c>
      <c r="G3" s="5">
        <v>60.82</v>
      </c>
      <c r="H3">
        <v>83.3</v>
      </c>
      <c r="I3">
        <v>3589.48</v>
      </c>
      <c r="J3">
        <v>18.568157533201038</v>
      </c>
      <c r="K3" s="3">
        <v>1340027563.2032599</v>
      </c>
      <c r="L3">
        <v>4.3444873050918318</v>
      </c>
      <c r="M3">
        <v>1990.3561288658102</v>
      </c>
      <c r="N3">
        <v>8.2604470359572506</v>
      </c>
      <c r="O3" s="6">
        <v>56</v>
      </c>
      <c r="P3" s="5">
        <v>23.253942381862696</v>
      </c>
      <c r="Q3">
        <v>77330616</v>
      </c>
      <c r="R3">
        <v>10875309</v>
      </c>
      <c r="S3" s="6">
        <v>430.94</v>
      </c>
      <c r="T3">
        <v>-0.77809512615203902</v>
      </c>
      <c r="U3">
        <v>4.7635644674301099E-2</v>
      </c>
      <c r="V3">
        <v>-7.9146675765514402E-2</v>
      </c>
      <c r="W3" s="5">
        <v>1.8704315768841899</v>
      </c>
      <c r="X3">
        <v>45.454999999999998</v>
      </c>
      <c r="Y3">
        <v>3.72</v>
      </c>
      <c r="Z3" s="6">
        <v>8.7100000000000009</v>
      </c>
    </row>
    <row r="4" spans="1:26" x14ac:dyDescent="0.3">
      <c r="A4" s="1" t="s">
        <v>0</v>
      </c>
      <c r="B4" s="2">
        <v>2009</v>
      </c>
      <c r="C4" s="3">
        <v>1</v>
      </c>
      <c r="D4">
        <v>32.57</v>
      </c>
      <c r="E4">
        <v>-10.43</v>
      </c>
      <c r="F4" s="4">
        <v>34.1</v>
      </c>
      <c r="G4" s="5">
        <v>61.92</v>
      </c>
      <c r="H4">
        <v>84.3</v>
      </c>
      <c r="I4">
        <v>3565.5</v>
      </c>
      <c r="J4">
        <v>18.684369342184674</v>
      </c>
      <c r="K4" s="3">
        <v>2064620677.7665701</v>
      </c>
      <c r="L4">
        <v>1.4483230627566854</v>
      </c>
      <c r="M4">
        <v>1893.2816406357683</v>
      </c>
      <c r="N4">
        <v>4.2190305206462799</v>
      </c>
      <c r="O4" s="6">
        <v>56.8</v>
      </c>
      <c r="P4" s="5">
        <v>23.09646845759131</v>
      </c>
      <c r="Q4">
        <v>76610150</v>
      </c>
      <c r="R4">
        <v>11114851</v>
      </c>
      <c r="S4" s="6">
        <v>441.21</v>
      </c>
      <c r="T4">
        <v>-0.78673923015594505</v>
      </c>
      <c r="U4">
        <v>2.8276430442929299E-2</v>
      </c>
      <c r="V4">
        <v>-0.112535633146763</v>
      </c>
      <c r="W4" s="5">
        <v>1.84004284987183</v>
      </c>
      <c r="X4">
        <v>45.371000000000002</v>
      </c>
      <c r="Y4">
        <v>3.8580000000000001</v>
      </c>
      <c r="Z4" s="6">
        <v>8.81</v>
      </c>
    </row>
    <row r="5" spans="1:26" x14ac:dyDescent="0.3">
      <c r="A5" s="1" t="s">
        <v>0</v>
      </c>
      <c r="B5" s="2">
        <v>2010</v>
      </c>
      <c r="C5" s="3">
        <v>1</v>
      </c>
      <c r="D5">
        <v>26.3</v>
      </c>
      <c r="E5">
        <v>1.63</v>
      </c>
      <c r="F5" s="6">
        <v>32.700000000000003</v>
      </c>
      <c r="G5" s="5">
        <v>67.73</v>
      </c>
      <c r="H5">
        <v>85.5</v>
      </c>
      <c r="I5">
        <v>3603.58</v>
      </c>
      <c r="J5">
        <v>19.860422836700586</v>
      </c>
      <c r="K5" s="3">
        <v>1070386939.91897</v>
      </c>
      <c r="L5">
        <v>7.334499965144019</v>
      </c>
      <c r="M5">
        <v>2201.7768281347917</v>
      </c>
      <c r="N5">
        <v>3.7898363479759101</v>
      </c>
      <c r="O5" s="6">
        <v>56.3</v>
      </c>
      <c r="P5" s="5">
        <v>22.938994533319917</v>
      </c>
      <c r="Q5">
        <v>83063350</v>
      </c>
      <c r="R5">
        <v>12057899</v>
      </c>
      <c r="S5" s="6">
        <v>504.5</v>
      </c>
      <c r="T5">
        <v>-0.78112399578094505</v>
      </c>
      <c r="U5">
        <v>7.0900924503803295E-2</v>
      </c>
      <c r="V5">
        <v>-0.21525135636329701</v>
      </c>
      <c r="W5" s="5">
        <v>1.80164390376145</v>
      </c>
      <c r="X5">
        <v>45.332000000000001</v>
      </c>
      <c r="Y5">
        <v>3.605</v>
      </c>
      <c r="Z5" s="6">
        <v>8.91</v>
      </c>
    </row>
    <row r="6" spans="1:26" x14ac:dyDescent="0.3">
      <c r="A6" s="1" t="s">
        <v>0</v>
      </c>
      <c r="B6" s="2">
        <v>2011</v>
      </c>
      <c r="C6" s="3">
        <v>1</v>
      </c>
      <c r="D6">
        <v>28.66</v>
      </c>
      <c r="E6">
        <v>0.17</v>
      </c>
      <c r="F6" s="6">
        <v>33.799999999999997</v>
      </c>
      <c r="G6" s="5">
        <v>69.150000000000006</v>
      </c>
      <c r="H6">
        <v>87.2</v>
      </c>
      <c r="I6">
        <v>3610.59</v>
      </c>
      <c r="J6">
        <v>19.879829806807731</v>
      </c>
      <c r="K6" s="3">
        <v>2007150725.4000299</v>
      </c>
      <c r="L6">
        <v>3.8582328242075477</v>
      </c>
      <c r="M6">
        <v>2431.1999606628151</v>
      </c>
      <c r="N6">
        <v>4.7184170471842002</v>
      </c>
      <c r="O6" s="6">
        <v>56.2</v>
      </c>
      <c r="P6" s="5">
        <v>23.055994902236979</v>
      </c>
      <c r="Q6">
        <v>83908024</v>
      </c>
      <c r="R6">
        <v>11477228</v>
      </c>
      <c r="S6" s="6">
        <v>492.84</v>
      </c>
      <c r="T6">
        <v>-0.68503481149673495</v>
      </c>
      <c r="U6">
        <v>0.18958117067813901</v>
      </c>
      <c r="V6">
        <v>-0.16096960008144401</v>
      </c>
      <c r="W6" s="5">
        <v>1.7816588021712201</v>
      </c>
      <c r="X6">
        <v>45.521999999999998</v>
      </c>
      <c r="Y6">
        <v>3.5920000000000001</v>
      </c>
      <c r="Z6" s="6">
        <v>8.99</v>
      </c>
    </row>
    <row r="7" spans="1:26" x14ac:dyDescent="0.3">
      <c r="A7" s="1" t="s">
        <v>0</v>
      </c>
      <c r="B7" s="2">
        <v>2012</v>
      </c>
      <c r="C7" s="3">
        <v>1</v>
      </c>
      <c r="D7">
        <v>28.45</v>
      </c>
      <c r="E7">
        <v>0.64</v>
      </c>
      <c r="F7" s="6">
        <v>34.1</v>
      </c>
      <c r="G7" s="5">
        <v>72.89</v>
      </c>
      <c r="H7">
        <v>87.1</v>
      </c>
      <c r="I7">
        <v>3671.1</v>
      </c>
      <c r="J7">
        <v>20.253410764400233</v>
      </c>
      <c r="K7" s="3">
        <v>3215415155.4356699</v>
      </c>
      <c r="L7">
        <v>6.8969517078676859</v>
      </c>
      <c r="M7">
        <v>2671.777521815608</v>
      </c>
      <c r="N7">
        <v>3.02696391124796</v>
      </c>
      <c r="O7" s="6">
        <v>57.1</v>
      </c>
      <c r="P7" s="5">
        <v>23.17299527115404</v>
      </c>
      <c r="Q7">
        <v>88628560</v>
      </c>
      <c r="R7">
        <v>11273522</v>
      </c>
      <c r="S7" s="6">
        <v>505.01</v>
      </c>
      <c r="T7">
        <v>-0.57389545440673795</v>
      </c>
      <c r="U7">
        <v>0.20568618178367601</v>
      </c>
      <c r="V7">
        <v>4.0504600852727897E-2</v>
      </c>
      <c r="W7" s="5">
        <v>1.74352515093364</v>
      </c>
      <c r="X7">
        <v>45.712000000000003</v>
      </c>
      <c r="Y7">
        <v>3.504</v>
      </c>
      <c r="Z7" s="6">
        <v>9.07</v>
      </c>
    </row>
    <row r="8" spans="1:26" x14ac:dyDescent="0.3">
      <c r="A8" s="1" t="s">
        <v>0</v>
      </c>
      <c r="B8" s="2">
        <v>2013</v>
      </c>
      <c r="C8" s="3">
        <v>1</v>
      </c>
      <c r="D8">
        <v>26.41</v>
      </c>
      <c r="E8">
        <v>0.14000000000000001</v>
      </c>
      <c r="F8" s="6">
        <v>33.1</v>
      </c>
      <c r="G8" s="5">
        <v>75.23</v>
      </c>
      <c r="H8">
        <v>87.5</v>
      </c>
      <c r="I8">
        <v>3860.98</v>
      </c>
      <c r="J8">
        <v>19.543305450200034</v>
      </c>
      <c r="K8" s="3">
        <v>3737371739.84519</v>
      </c>
      <c r="L8">
        <v>6.7505313039474544</v>
      </c>
      <c r="M8">
        <v>2847.5679427470413</v>
      </c>
      <c r="N8">
        <v>2.5826876614179501</v>
      </c>
      <c r="O8" s="6">
        <v>58.2</v>
      </c>
      <c r="P8" s="5">
        <v>23.289995640071101</v>
      </c>
      <c r="Q8">
        <v>96035850</v>
      </c>
      <c r="R8">
        <v>11728740</v>
      </c>
      <c r="S8" s="6">
        <v>529.84</v>
      </c>
      <c r="T8">
        <v>-0.37990435957908603</v>
      </c>
      <c r="U8">
        <v>0.20597030222415899</v>
      </c>
      <c r="V8">
        <v>2.3147568106651299E-2</v>
      </c>
      <c r="W8" s="5">
        <v>1.6869560570809301</v>
      </c>
      <c r="X8">
        <v>45.902999999999999</v>
      </c>
      <c r="Y8">
        <v>3.4969999999999999</v>
      </c>
      <c r="Z8" s="6">
        <v>9.15</v>
      </c>
    </row>
    <row r="9" spans="1:26" x14ac:dyDescent="0.3">
      <c r="A9" s="1" t="s">
        <v>0</v>
      </c>
      <c r="B9" s="2">
        <v>2014</v>
      </c>
      <c r="C9" s="3">
        <v>28</v>
      </c>
      <c r="D9">
        <v>25.61</v>
      </c>
      <c r="E9">
        <v>8.77</v>
      </c>
      <c r="F9" s="6">
        <v>32.4</v>
      </c>
      <c r="G9" s="5">
        <v>77.23</v>
      </c>
      <c r="H9">
        <v>89.8</v>
      </c>
      <c r="I9">
        <v>3993.65</v>
      </c>
      <c r="J9">
        <v>19.085157910344485</v>
      </c>
      <c r="K9" s="3">
        <v>5739574024.1318302</v>
      </c>
      <c r="L9">
        <v>6.3479874802974052</v>
      </c>
      <c r="M9">
        <v>2935.9285983040077</v>
      </c>
      <c r="N9">
        <v>3.5978234386421102</v>
      </c>
      <c r="O9" s="6">
        <v>60.1</v>
      </c>
      <c r="P9" s="5">
        <v>23.406996008988159</v>
      </c>
      <c r="Q9">
        <v>101483620</v>
      </c>
      <c r="R9">
        <v>12228388</v>
      </c>
      <c r="S9" s="6">
        <v>536.71</v>
      </c>
      <c r="T9">
        <v>-0.439453065395355</v>
      </c>
      <c r="U9">
        <v>0.318069517612457</v>
      </c>
      <c r="V9">
        <v>7.7303528785705594E-2</v>
      </c>
      <c r="W9" s="5">
        <v>1.6168406041295</v>
      </c>
      <c r="X9">
        <v>46.093000000000004</v>
      </c>
      <c r="Y9">
        <v>3.6</v>
      </c>
      <c r="Z9" s="6">
        <v>8.9700000000000006</v>
      </c>
    </row>
    <row r="10" spans="1:26" x14ac:dyDescent="0.3">
      <c r="A10" s="1" t="s">
        <v>0</v>
      </c>
      <c r="B10" s="2">
        <v>2015</v>
      </c>
      <c r="C10" s="3">
        <v>172</v>
      </c>
      <c r="D10">
        <v>25.41</v>
      </c>
      <c r="E10">
        <v>6.51</v>
      </c>
      <c r="F10" s="6">
        <v>30.8</v>
      </c>
      <c r="G10" s="5">
        <v>82.4</v>
      </c>
      <c r="H10">
        <v>89.1</v>
      </c>
      <c r="I10">
        <v>4307.6400000000003</v>
      </c>
      <c r="J10">
        <v>18.566085349916634</v>
      </c>
      <c r="K10" s="3">
        <v>5639155961.8738899</v>
      </c>
      <c r="L10">
        <v>6.3483097153988552</v>
      </c>
      <c r="M10">
        <v>2974.2969167371293</v>
      </c>
      <c r="N10">
        <v>0.67419253684540803</v>
      </c>
      <c r="O10" s="6">
        <v>62.2</v>
      </c>
      <c r="P10" s="5">
        <v>23.52399637790522</v>
      </c>
      <c r="Q10">
        <v>112449144</v>
      </c>
      <c r="R10">
        <v>11990905</v>
      </c>
      <c r="S10" s="6">
        <v>544.66</v>
      </c>
      <c r="T10">
        <v>-0.48059576749801602</v>
      </c>
      <c r="U10">
        <v>0.15983173251152</v>
      </c>
      <c r="V10">
        <v>5.4170172661542899E-2</v>
      </c>
      <c r="W10" s="5">
        <v>1.6698300209422501</v>
      </c>
      <c r="X10">
        <v>46.283999999999999</v>
      </c>
      <c r="Y10">
        <v>3.0680000000000001</v>
      </c>
      <c r="Z10" s="6">
        <v>8.8000000000000007</v>
      </c>
    </row>
    <row r="11" spans="1:26" x14ac:dyDescent="0.3">
      <c r="A11" s="1" t="s">
        <v>0</v>
      </c>
      <c r="B11" s="2">
        <v>2016</v>
      </c>
      <c r="C11" s="3">
        <v>784</v>
      </c>
      <c r="D11">
        <v>24.21</v>
      </c>
      <c r="E11">
        <v>11.5</v>
      </c>
      <c r="F11" s="6">
        <v>28.6</v>
      </c>
      <c r="G11" s="5">
        <v>90.79</v>
      </c>
      <c r="H11">
        <v>92</v>
      </c>
      <c r="I11">
        <v>4620.87</v>
      </c>
      <c r="J11">
        <v>18.734652607251192</v>
      </c>
      <c r="K11" s="3">
        <v>8279548274.8850098</v>
      </c>
      <c r="L11">
        <v>7.1494567528665556</v>
      </c>
      <c r="M11">
        <v>3038.1520368446081</v>
      </c>
      <c r="N11">
        <v>1.25369880080982</v>
      </c>
      <c r="O11" s="6">
        <v>63.1</v>
      </c>
      <c r="P11" s="5">
        <v>23.641010161988127</v>
      </c>
      <c r="Q11">
        <v>121792456</v>
      </c>
      <c r="R11">
        <v>12678063</v>
      </c>
      <c r="S11" s="6">
        <v>560.08000000000004</v>
      </c>
      <c r="T11">
        <v>-0.51857358217239402</v>
      </c>
      <c r="U11">
        <v>1.8206905573606501E-2</v>
      </c>
      <c r="V11">
        <v>0.112924449145794</v>
      </c>
      <c r="W11" s="5">
        <v>1.7738244699361301</v>
      </c>
      <c r="X11">
        <v>46.475000000000001</v>
      </c>
      <c r="Y11">
        <v>2.6949999999999998</v>
      </c>
      <c r="Z11" s="6">
        <v>8.6199999999999992</v>
      </c>
    </row>
    <row r="12" spans="1:26" x14ac:dyDescent="0.3">
      <c r="A12" s="1" t="s">
        <v>0</v>
      </c>
      <c r="B12" s="2">
        <v>2017</v>
      </c>
      <c r="C12" s="3">
        <v>908</v>
      </c>
      <c r="D12">
        <v>24.55</v>
      </c>
      <c r="E12">
        <v>2.41</v>
      </c>
      <c r="F12" s="6">
        <v>27.8</v>
      </c>
      <c r="G12" s="5">
        <v>94.36</v>
      </c>
      <c r="H12">
        <v>93</v>
      </c>
      <c r="I12">
        <v>4982.87</v>
      </c>
      <c r="J12">
        <v>17.741510923927347</v>
      </c>
      <c r="K12" s="3">
        <v>10256442398.8834</v>
      </c>
      <c r="L12">
        <v>6.9309883252176547</v>
      </c>
      <c r="M12">
        <v>3077.43441889625</v>
      </c>
      <c r="N12">
        <v>2.85318772590947</v>
      </c>
      <c r="O12" s="6">
        <v>65.599999999999994</v>
      </c>
      <c r="P12" s="5">
        <v>23.758023946071035</v>
      </c>
      <c r="Q12">
        <v>135150080</v>
      </c>
      <c r="R12">
        <v>13730619</v>
      </c>
      <c r="S12" s="6">
        <v>560.51</v>
      </c>
      <c r="T12">
        <v>-0.507046699523926</v>
      </c>
      <c r="U12">
        <v>-3.5247687250375699E-2</v>
      </c>
      <c r="V12">
        <v>0.127120852470398</v>
      </c>
      <c r="W12" s="5">
        <v>1.7610226200119501</v>
      </c>
      <c r="X12">
        <v>46.682000000000002</v>
      </c>
      <c r="Y12">
        <v>2.552</v>
      </c>
      <c r="Z12" s="6">
        <v>8.4499999999999993</v>
      </c>
    </row>
    <row r="13" spans="1:26" x14ac:dyDescent="0.3">
      <c r="A13" s="1" t="s">
        <v>0</v>
      </c>
      <c r="B13" s="2">
        <v>2018</v>
      </c>
      <c r="C13" s="3">
        <v>919</v>
      </c>
      <c r="D13">
        <v>23.37</v>
      </c>
      <c r="E13">
        <v>2.72</v>
      </c>
      <c r="F13" s="6">
        <v>27.6</v>
      </c>
      <c r="G13" s="5">
        <v>99.74</v>
      </c>
      <c r="H13">
        <v>94.2</v>
      </c>
      <c r="I13">
        <v>5063.13</v>
      </c>
      <c r="J13">
        <v>18.144442423139893</v>
      </c>
      <c r="K13" s="3">
        <v>9948598823.9686699</v>
      </c>
      <c r="L13">
        <v>6.3414855709894624</v>
      </c>
      <c r="M13">
        <v>3194.6727013220875</v>
      </c>
      <c r="N13">
        <v>5.3093466162770699</v>
      </c>
      <c r="O13" s="6">
        <v>65</v>
      </c>
      <c r="P13" s="5">
        <v>23.875004192239331</v>
      </c>
      <c r="Q13">
        <v>141517820</v>
      </c>
      <c r="R13">
        <v>13184663</v>
      </c>
      <c r="S13" s="6">
        <v>572.39</v>
      </c>
      <c r="T13">
        <v>-0.57628536224365201</v>
      </c>
      <c r="U13">
        <v>6.2223520129919101E-2</v>
      </c>
      <c r="V13">
        <v>2.87664085626602E-2</v>
      </c>
      <c r="W13" s="5">
        <v>1.7002477655514501</v>
      </c>
      <c r="X13">
        <v>46.906999999999996</v>
      </c>
      <c r="Y13">
        <v>2.3380000000000001</v>
      </c>
      <c r="Z13" s="6">
        <v>8.7100000000000009</v>
      </c>
    </row>
    <row r="14" spans="1:26" x14ac:dyDescent="0.3">
      <c r="A14" s="1" t="s">
        <v>0</v>
      </c>
      <c r="B14" s="2">
        <v>2019</v>
      </c>
      <c r="C14" s="3">
        <v>982</v>
      </c>
      <c r="D14">
        <v>20.79</v>
      </c>
      <c r="E14">
        <v>2.64</v>
      </c>
      <c r="F14" s="6">
        <v>26.9</v>
      </c>
      <c r="G14" s="5">
        <v>106.03</v>
      </c>
      <c r="H14">
        <v>95.3</v>
      </c>
      <c r="I14">
        <v>5128.8</v>
      </c>
      <c r="J14">
        <v>18.729244683106057</v>
      </c>
      <c r="K14" s="3">
        <v>8671365873.6568909</v>
      </c>
      <c r="L14">
        <v>6.1185256611850463</v>
      </c>
      <c r="M14">
        <v>3413.8490443041883</v>
      </c>
      <c r="N14">
        <v>2.39206534422404</v>
      </c>
      <c r="O14" s="6">
        <v>63.8</v>
      </c>
      <c r="P14" s="5">
        <v>23.992017976322234</v>
      </c>
      <c r="Q14">
        <v>144159980</v>
      </c>
      <c r="R14">
        <v>13530990</v>
      </c>
      <c r="S14" s="6">
        <v>592.66</v>
      </c>
      <c r="T14">
        <v>-0.60599905252456698</v>
      </c>
      <c r="U14">
        <v>5.9996031224727603E-2</v>
      </c>
      <c r="V14">
        <v>0.100199609994888</v>
      </c>
      <c r="W14" s="5">
        <v>1.65518369204871</v>
      </c>
      <c r="X14">
        <v>47.149000000000001</v>
      </c>
      <c r="Y14">
        <v>2.2370000000000001</v>
      </c>
      <c r="Z14" s="6">
        <v>8.9700000000000006</v>
      </c>
    </row>
    <row r="15" spans="1:26" x14ac:dyDescent="0.3">
      <c r="A15" s="1" t="s">
        <v>0</v>
      </c>
      <c r="B15" s="2">
        <v>2020</v>
      </c>
      <c r="C15" s="3">
        <v>1058</v>
      </c>
      <c r="D15">
        <v>21.23</v>
      </c>
      <c r="E15">
        <v>3.16</v>
      </c>
      <c r="F15" s="6">
        <v>29.1</v>
      </c>
      <c r="G15" s="5">
        <v>101.75</v>
      </c>
      <c r="H15">
        <v>96.4</v>
      </c>
      <c r="I15">
        <v>4579.2700000000004</v>
      </c>
      <c r="J15">
        <v>19.805352798053526</v>
      </c>
      <c r="K15" s="3">
        <v>6822133290.81919</v>
      </c>
      <c r="L15">
        <v>-9.5182947406493952</v>
      </c>
      <c r="M15">
        <v>3224.4228112176679</v>
      </c>
      <c r="N15">
        <v>2.3931623931624002</v>
      </c>
      <c r="O15" s="6">
        <v>64.5</v>
      </c>
      <c r="P15" s="5">
        <v>24.109031760405138</v>
      </c>
      <c r="Q15">
        <v>132851040</v>
      </c>
      <c r="R15">
        <v>13728533</v>
      </c>
      <c r="S15" s="6">
        <v>598.82000000000005</v>
      </c>
      <c r="T15">
        <v>-0.51049673557281505</v>
      </c>
      <c r="U15">
        <v>6.8197175860404996E-2</v>
      </c>
      <c r="V15">
        <v>0.113156676292419</v>
      </c>
      <c r="W15" s="5">
        <v>1.6266329046917101</v>
      </c>
      <c r="X15">
        <v>47.408000000000001</v>
      </c>
      <c r="Y15">
        <v>2.5219999999999998</v>
      </c>
      <c r="Z15" s="6">
        <v>8.9700000000000006</v>
      </c>
    </row>
    <row r="16" spans="1:26" x14ac:dyDescent="0.3">
      <c r="A16" s="1" t="s">
        <v>0</v>
      </c>
      <c r="B16" s="2">
        <v>2021</v>
      </c>
      <c r="C16" s="3">
        <v>1378</v>
      </c>
      <c r="D16">
        <v>22.4</v>
      </c>
      <c r="E16">
        <v>4.71</v>
      </c>
      <c r="F16" s="6">
        <v>28</v>
      </c>
      <c r="G16" s="5">
        <v>106.12</v>
      </c>
      <c r="H16">
        <v>97.5</v>
      </c>
      <c r="I16">
        <v>4790.2</v>
      </c>
      <c r="J16">
        <v>19.45335557551649</v>
      </c>
      <c r="K16" s="3">
        <v>11983363327.4772</v>
      </c>
      <c r="L16">
        <v>5.7147331342622465</v>
      </c>
      <c r="M16">
        <v>3460.5393817280715</v>
      </c>
      <c r="N16">
        <v>3.92718022100332</v>
      </c>
      <c r="O16" s="6">
        <v>64.099999999999994</v>
      </c>
      <c r="P16" s="5">
        <v>24.226045544488045</v>
      </c>
      <c r="Q16">
        <v>142753780</v>
      </c>
      <c r="R16">
        <v>13603940</v>
      </c>
      <c r="S16" s="6">
        <v>597.15</v>
      </c>
      <c r="T16">
        <v>-0.52957814931869496</v>
      </c>
      <c r="U16">
        <v>3.56624871492386E-2</v>
      </c>
      <c r="V16">
        <v>6.2373228371143299E-2</v>
      </c>
      <c r="W16" s="5">
        <v>1.49455716704944</v>
      </c>
      <c r="X16">
        <v>47.683999999999997</v>
      </c>
      <c r="Y16">
        <v>3.3980000000000001</v>
      </c>
      <c r="Z16" s="6">
        <v>8.9700000000000006</v>
      </c>
    </row>
    <row r="17" spans="1:26" x14ac:dyDescent="0.3">
      <c r="A17" s="1" t="s">
        <v>0</v>
      </c>
      <c r="B17" s="2">
        <v>2022</v>
      </c>
      <c r="C17" s="3">
        <v>1625</v>
      </c>
      <c r="D17">
        <v>21.83</v>
      </c>
      <c r="E17">
        <v>4.87</v>
      </c>
      <c r="F17" s="6">
        <f>ROUND(((F15-F14)/F14)*F16+F16,1)</f>
        <v>30.3</v>
      </c>
      <c r="G17" s="5">
        <v>113.01</v>
      </c>
      <c r="H17">
        <v>94.8</v>
      </c>
      <c r="I17">
        <v>4941.1499999999996</v>
      </c>
      <c r="J17">
        <v>19.791940314191141</v>
      </c>
      <c r="K17" s="3">
        <v>9492234668.1091003</v>
      </c>
      <c r="L17">
        <v>7.5809821278556342</v>
      </c>
      <c r="M17">
        <v>3499.1072795080054</v>
      </c>
      <c r="N17">
        <v>5.8211581121395497</v>
      </c>
      <c r="O17" s="6">
        <v>61.1</v>
      </c>
      <c r="P17" s="5">
        <f>((P15-P14)/P14)*P16+P16</f>
        <v>24.344200726987616</v>
      </c>
      <c r="Q17">
        <v>150395980</v>
      </c>
      <c r="R17">
        <v>14030680</v>
      </c>
      <c r="S17" s="6">
        <v>601.1</v>
      </c>
      <c r="T17">
        <v>-0.54094845056533802</v>
      </c>
      <c r="U17">
        <v>6.4777202904224396E-2</v>
      </c>
      <c r="V17">
        <v>6.2785595655441298E-2</v>
      </c>
      <c r="W17" s="5">
        <v>1.4633157299070201</v>
      </c>
      <c r="X17">
        <v>47.976999999999997</v>
      </c>
      <c r="Y17">
        <v>2.5979999999999999</v>
      </c>
      <c r="Z17" s="6">
        <v>8.9700000000000006</v>
      </c>
    </row>
    <row r="18" spans="1:26" ht="15" thickBot="1" x14ac:dyDescent="0.35">
      <c r="A18" s="1" t="s">
        <v>0</v>
      </c>
      <c r="B18" s="2">
        <v>2023</v>
      </c>
      <c r="C18" s="11">
        <v>1675</v>
      </c>
      <c r="D18" s="12">
        <v>21.66</v>
      </c>
      <c r="E18" s="12">
        <v>1.34</v>
      </c>
      <c r="F18" s="13">
        <f>ROUND(((F16-F15)/F15)*F17+F17,1)</f>
        <v>29.2</v>
      </c>
      <c r="G18" s="14">
        <v>118.26</v>
      </c>
      <c r="H18" s="12">
        <f>ROUND(((H17-H16)/H16)*H17+H17,1)</f>
        <v>92.2</v>
      </c>
      <c r="I18" s="12">
        <v>5191.9799999999996</v>
      </c>
      <c r="J18" s="12">
        <v>19.412025409957156</v>
      </c>
      <c r="K18" s="11">
        <v>8863959058.4081402</v>
      </c>
      <c r="L18" s="12">
        <v>5.5458511708776683</v>
      </c>
      <c r="M18" s="12">
        <v>3725.5512048808055</v>
      </c>
      <c r="N18" s="12">
        <v>5.9780251554140902</v>
      </c>
      <c r="O18" s="13">
        <v>59.3</v>
      </c>
      <c r="P18" s="14">
        <f>((P16-P15)/P15)*P17+P17</f>
        <v>24.46235590948719</v>
      </c>
      <c r="Q18" s="12">
        <f>ROUND(((Q17-Q16)/Q16)*Q17+Q17,1)</f>
        <v>158447298.59999999</v>
      </c>
      <c r="R18" s="12">
        <f>ROUND(((R17-R16)/R16)*R17+R17,2)</f>
        <v>14470806.34</v>
      </c>
      <c r="S18" s="13">
        <v>610.69000000000005</v>
      </c>
      <c r="T18" s="12">
        <f>((T17-T16)/T16)*T17+T17</f>
        <v>-0.55256287772730772</v>
      </c>
      <c r="U18" s="12">
        <f>((U17-U16)/U16)*U17+U17</f>
        <v>0.11766105932363846</v>
      </c>
      <c r="V18" s="12">
        <f>((V17-V16)/V16)*V17+V17</f>
        <v>6.3200689218009642E-2</v>
      </c>
      <c r="W18" s="14">
        <v>1.52719727728693</v>
      </c>
      <c r="X18" s="12">
        <v>48.286999999999999</v>
      </c>
      <c r="Y18" s="12">
        <v>2.2330000000000001</v>
      </c>
      <c r="Z18" s="13">
        <f>ROUND(((Z17-Z16)/Z16)*Z17+Z17,2)</f>
        <v>8.9700000000000006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2024-12-08T08:22:23Z</dcterms:created>
  <dcterms:modified xsi:type="dcterms:W3CDTF">2025-06-04T04:23:40Z</dcterms:modified>
</cp:coreProperties>
</file>