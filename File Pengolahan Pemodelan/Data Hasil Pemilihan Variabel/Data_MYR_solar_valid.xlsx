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TIS\6 - TINGKAT IV\SKRIPSI - IYA BISA YUK BISA JAN MALES\Coding\SVR Ulang - Data Valid\"/>
    </mc:Choice>
  </mc:AlternateContent>
  <xr:revisionPtr revIDLastSave="0" documentId="13_ncr:1_{86D2CA34-3411-4678-885A-3C5D9C5A53E0}" xr6:coauthVersionLast="47" xr6:coauthVersionMax="47" xr10:uidLastSave="{00000000-0000-0000-0000-000000000000}"/>
  <bookViews>
    <workbookView xWindow="4596" yWindow="4596" windowWidth="10116" windowHeight="6000" xr2:uid="{3E01A2E3-DECD-467E-B448-221D70936E0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18" i="1" l="1"/>
  <c r="K18" i="1"/>
  <c r="J18" i="1"/>
  <c r="I18" i="1"/>
  <c r="D18" i="1"/>
  <c r="H17" i="1"/>
  <c r="H18" i="1" s="1"/>
  <c r="E17" i="1"/>
  <c r="E18" i="1" s="1"/>
</calcChain>
</file>

<file path=xl/sharedStrings.xml><?xml version="1.0" encoding="utf-8"?>
<sst xmlns="http://schemas.openxmlformats.org/spreadsheetml/2006/main" count="31" uniqueCount="15">
  <si>
    <t>Myanmar</t>
  </si>
  <si>
    <t>Country</t>
  </si>
  <si>
    <t>Year</t>
  </si>
  <si>
    <t>Solar</t>
  </si>
  <si>
    <t>Elec_Access</t>
  </si>
  <si>
    <t>PKP_EnergyUse</t>
  </si>
  <si>
    <t>GDP_Growth</t>
  </si>
  <si>
    <t>Inflation</t>
  </si>
  <si>
    <t>Forest_Area</t>
  </si>
  <si>
    <t>CO2</t>
  </si>
  <si>
    <t>Political_Stability</t>
  </si>
  <si>
    <t>Gov_Effective</t>
  </si>
  <si>
    <t>Urbanization</t>
  </si>
  <si>
    <t>Unemployment</t>
  </si>
  <si>
    <t>Education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</si>
</sst>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9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0" fontId="1" fillId="0" borderId="0"/>
  </cellStyleXfs>
  <cellXfs count="15">
    <xf numFmtId="0" fontId="0" fillId="0" borderId="0" xfId="0"/>
    <xf numFmtId="0" fontId="1" fillId="0" borderId="0" xfId="1"/>
    <xf numFmtId="0" fontId="1" fillId="0" borderId="0" xfId="1" applyAlignment="1">
      <alignment horizontal="left" vertical="center"/>
    </xf>
    <xf numFmtId="0" fontId="1" fillId="0" borderId="1" xfId="1" applyBorder="1"/>
    <xf numFmtId="0" fontId="0" fillId="0" borderId="1" xfId="0" applyBorder="1"/>
    <xf numFmtId="0" fontId="0" fillId="0" borderId="2" xfId="0" applyBorder="1"/>
    <xf numFmtId="0" fontId="0" fillId="0" borderId="0" xfId="0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1" fillId="0" borderId="6" xfId="1" applyBorder="1"/>
    <xf numFmtId="0" fontId="0" fillId="0" borderId="7" xfId="0" applyBorder="1"/>
    <xf numFmtId="0" fontId="0" fillId="0" borderId="8" xfId="0" applyBorder="1"/>
    <xf numFmtId="0" fontId="0" fillId="0" borderId="6" xfId="0" applyBorder="1"/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</cellXfs>
  <cellStyles count="2">
    <cellStyle name="Normal" xfId="0" builtinId="0"/>
    <cellStyle name="Normal 2" xfId="1" xr:uid="{355EAE67-8DE4-4D11-BA0E-C9D0748C2DD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5BFB7E-F551-4DB7-95E2-453072F3CB0D}">
  <dimension ref="A1:N18"/>
  <sheetViews>
    <sheetView tabSelected="1" workbookViewId="0">
      <selection activeCell="F23" sqref="F23"/>
    </sheetView>
  </sheetViews>
  <sheetFormatPr defaultRowHeight="14.4" x14ac:dyDescent="0.3"/>
  <cols>
    <col min="4" max="4" width="10.77734375" bestFit="1" customWidth="1"/>
    <col min="5" max="5" width="13.6640625" bestFit="1" customWidth="1"/>
    <col min="6" max="6" width="12.6640625" bestFit="1" customWidth="1"/>
    <col min="7" max="8" width="12" bestFit="1" customWidth="1"/>
    <col min="9" max="9" width="11" bestFit="1" customWidth="1"/>
    <col min="10" max="10" width="15" bestFit="1" customWidth="1"/>
    <col min="11" max="11" width="12.6640625" bestFit="1" customWidth="1"/>
    <col min="12" max="12" width="11.44140625" bestFit="1" customWidth="1"/>
    <col min="13" max="13" width="13.6640625" bestFit="1" customWidth="1"/>
    <col min="14" max="14" width="9.109375" bestFit="1" customWidth="1"/>
  </cols>
  <sheetData>
    <row r="1" spans="1:14" x14ac:dyDescent="0.3">
      <c r="A1" s="6" t="s">
        <v>1</v>
      </c>
      <c r="B1" s="6" t="s">
        <v>2</v>
      </c>
      <c r="C1" s="7" t="s">
        <v>3</v>
      </c>
      <c r="D1" s="12" t="s">
        <v>4</v>
      </c>
      <c r="E1" s="12" t="s">
        <v>5</v>
      </c>
      <c r="F1" s="12" t="s">
        <v>6</v>
      </c>
      <c r="G1" s="12" t="s">
        <v>7</v>
      </c>
      <c r="H1" s="14" t="s">
        <v>8</v>
      </c>
      <c r="I1" s="12" t="s">
        <v>9</v>
      </c>
      <c r="J1" s="14" t="s">
        <v>10</v>
      </c>
      <c r="K1" s="12" t="s">
        <v>11</v>
      </c>
      <c r="L1" s="12" t="s">
        <v>12</v>
      </c>
      <c r="M1" s="12" t="s">
        <v>13</v>
      </c>
      <c r="N1" s="13" t="s">
        <v>14</v>
      </c>
    </row>
    <row r="2" spans="1:14" x14ac:dyDescent="0.3">
      <c r="A2" s="1" t="s">
        <v>0</v>
      </c>
      <c r="B2" s="2">
        <v>2007</v>
      </c>
      <c r="C2" s="3">
        <v>0</v>
      </c>
      <c r="D2">
        <v>49.5</v>
      </c>
      <c r="E2">
        <v>1648.79</v>
      </c>
      <c r="F2">
        <v>11.991435240214642</v>
      </c>
      <c r="G2">
        <v>35.024597071769797</v>
      </c>
      <c r="H2" s="4">
        <v>49.683457277512552</v>
      </c>
      <c r="I2">
        <v>12841137</v>
      </c>
      <c r="J2" s="4">
        <v>-1.06611335277557</v>
      </c>
      <c r="K2">
        <v>-1.4942594766616799</v>
      </c>
      <c r="L2">
        <v>28.318999999999999</v>
      </c>
      <c r="M2">
        <v>0.67300000000000004</v>
      </c>
      <c r="N2" s="5">
        <v>3.44</v>
      </c>
    </row>
    <row r="3" spans="1:14" x14ac:dyDescent="0.3">
      <c r="A3" s="1" t="s">
        <v>0</v>
      </c>
      <c r="B3" s="2">
        <v>2008</v>
      </c>
      <c r="C3" s="3">
        <v>0</v>
      </c>
      <c r="D3">
        <v>50.6</v>
      </c>
      <c r="E3">
        <v>1504.84</v>
      </c>
      <c r="F3">
        <v>10.255305392980787</v>
      </c>
      <c r="G3">
        <v>26.799537193402202</v>
      </c>
      <c r="H3" s="4">
        <v>49.174851142642844</v>
      </c>
      <c r="I3">
        <v>9772056</v>
      </c>
      <c r="J3" s="4">
        <v>-1.0918037891387899</v>
      </c>
      <c r="K3">
        <v>-1.54291808605194</v>
      </c>
      <c r="L3">
        <v>28.507000000000001</v>
      </c>
      <c r="M3">
        <v>0.68400000000000005</v>
      </c>
      <c r="N3" s="5">
        <v>3.54</v>
      </c>
    </row>
    <row r="4" spans="1:14" x14ac:dyDescent="0.3">
      <c r="A4" s="1" t="s">
        <v>0</v>
      </c>
      <c r="B4" s="2">
        <v>2009</v>
      </c>
      <c r="C4" s="3">
        <v>0</v>
      </c>
      <c r="D4">
        <v>51.8</v>
      </c>
      <c r="E4">
        <v>1377.9</v>
      </c>
      <c r="F4">
        <v>10.550009096193165</v>
      </c>
      <c r="G4">
        <v>1.47234311385647</v>
      </c>
      <c r="H4" s="4">
        <v>48.651019439767332</v>
      </c>
      <c r="I4">
        <v>10207303</v>
      </c>
      <c r="J4" s="4">
        <v>-1.2944188117980999</v>
      </c>
      <c r="K4">
        <v>-1.6242733001709</v>
      </c>
      <c r="L4">
        <v>28.695</v>
      </c>
      <c r="M4">
        <v>0.69599999999999995</v>
      </c>
      <c r="N4" s="5">
        <v>3.64</v>
      </c>
    </row>
    <row r="5" spans="1:14" x14ac:dyDescent="0.3">
      <c r="A5" s="1" t="s">
        <v>0</v>
      </c>
      <c r="B5" s="2">
        <v>2010</v>
      </c>
      <c r="C5" s="3">
        <v>0</v>
      </c>
      <c r="D5">
        <v>48.8</v>
      </c>
      <c r="E5">
        <v>1386.88</v>
      </c>
      <c r="F5">
        <v>9.6344394520444041</v>
      </c>
      <c r="G5">
        <v>7.7183819587361402</v>
      </c>
      <c r="H5" s="4">
        <v>48.129381869393505</v>
      </c>
      <c r="I5">
        <v>13121587</v>
      </c>
      <c r="J5" s="4">
        <v>-1.28592801094055</v>
      </c>
      <c r="K5">
        <v>-1.62764239311218</v>
      </c>
      <c r="L5">
        <v>28.885000000000002</v>
      </c>
      <c r="M5">
        <v>0.70699999999999996</v>
      </c>
      <c r="N5" s="5">
        <v>3.74</v>
      </c>
    </row>
    <row r="6" spans="1:14" x14ac:dyDescent="0.3">
      <c r="A6" s="1" t="s">
        <v>0</v>
      </c>
      <c r="B6" s="2">
        <v>2011</v>
      </c>
      <c r="C6" s="3">
        <v>1</v>
      </c>
      <c r="D6">
        <v>54.1</v>
      </c>
      <c r="E6">
        <v>1505.2</v>
      </c>
      <c r="F6">
        <v>5.5914823782366057</v>
      </c>
      <c r="G6">
        <v>5.0214601462072999</v>
      </c>
      <c r="H6" s="4">
        <v>47.683705551898854</v>
      </c>
      <c r="I6">
        <v>15121961</v>
      </c>
      <c r="J6" s="4">
        <v>-1.1110984086990401</v>
      </c>
      <c r="K6">
        <v>-1.60698401927948</v>
      </c>
      <c r="L6">
        <v>29.074999999999999</v>
      </c>
      <c r="M6">
        <v>0.72299999999999998</v>
      </c>
      <c r="N6" s="5">
        <v>3.94</v>
      </c>
    </row>
    <row r="7" spans="1:14" x14ac:dyDescent="0.3">
      <c r="A7" s="1" t="s">
        <v>0</v>
      </c>
      <c r="B7" s="2">
        <v>2012</v>
      </c>
      <c r="C7" s="3">
        <v>3</v>
      </c>
      <c r="D7">
        <v>55.3</v>
      </c>
      <c r="E7">
        <v>1779.6</v>
      </c>
      <c r="F7">
        <v>7.3326704470414938</v>
      </c>
      <c r="G7">
        <v>1.4675832267467901</v>
      </c>
      <c r="H7" s="4">
        <v>47.250365153486953</v>
      </c>
      <c r="I7">
        <v>11818522</v>
      </c>
      <c r="J7" s="4">
        <v>-0.94367498159408603</v>
      </c>
      <c r="K7">
        <v>-1.4765000343322801</v>
      </c>
      <c r="L7">
        <v>29.265999999999998</v>
      </c>
      <c r="M7">
        <v>0.74199999999999999</v>
      </c>
      <c r="N7" s="5">
        <v>4.1399999999999997</v>
      </c>
    </row>
    <row r="8" spans="1:14" x14ac:dyDescent="0.3">
      <c r="A8" s="1" t="s">
        <v>0</v>
      </c>
      <c r="B8" s="2">
        <v>2013</v>
      </c>
      <c r="C8" s="3">
        <v>4</v>
      </c>
      <c r="D8">
        <v>56.5</v>
      </c>
      <c r="E8">
        <v>2042.98</v>
      </c>
      <c r="F8">
        <v>8.4260010250176691</v>
      </c>
      <c r="G8">
        <v>5.6430388342550097</v>
      </c>
      <c r="H8" s="4">
        <v>46.811820910148839</v>
      </c>
      <c r="I8">
        <v>12722151</v>
      </c>
      <c r="J8" s="4">
        <v>-1.1403723955154399</v>
      </c>
      <c r="K8">
        <v>-1.5083526372909499</v>
      </c>
      <c r="L8">
        <v>29.457000000000001</v>
      </c>
      <c r="M8">
        <v>0.753</v>
      </c>
      <c r="N8" s="5">
        <v>4.34</v>
      </c>
    </row>
    <row r="9" spans="1:14" x14ac:dyDescent="0.3">
      <c r="A9" s="1" t="s">
        <v>0</v>
      </c>
      <c r="B9" s="2">
        <v>2014</v>
      </c>
      <c r="C9" s="3">
        <v>6</v>
      </c>
      <c r="D9">
        <v>52</v>
      </c>
      <c r="E9">
        <v>2368.4899999999998</v>
      </c>
      <c r="F9">
        <v>8.1699074555827735</v>
      </c>
      <c r="G9">
        <v>4.953299184844</v>
      </c>
      <c r="H9" s="4">
        <v>46.368212163900289</v>
      </c>
      <c r="I9">
        <v>15849346</v>
      </c>
      <c r="J9" s="4">
        <v>-1.08758068084717</v>
      </c>
      <c r="K9">
        <v>-1.2980372905731199</v>
      </c>
      <c r="L9">
        <v>29.65</v>
      </c>
      <c r="M9">
        <v>0.749</v>
      </c>
      <c r="N9" s="5">
        <v>4.53</v>
      </c>
    </row>
    <row r="10" spans="1:14" x14ac:dyDescent="0.3">
      <c r="A10" s="1" t="s">
        <v>0</v>
      </c>
      <c r="B10" s="2">
        <v>2015</v>
      </c>
      <c r="C10" s="3">
        <v>21</v>
      </c>
      <c r="D10">
        <v>60.5</v>
      </c>
      <c r="E10">
        <v>2192.52</v>
      </c>
      <c r="F10">
        <v>6.9928402902612135</v>
      </c>
      <c r="G10">
        <v>9.4541718952601794</v>
      </c>
      <c r="H10" s="4">
        <v>45.924603417651745</v>
      </c>
      <c r="I10">
        <v>21887144</v>
      </c>
      <c r="J10" s="4">
        <v>-1.16666913032532</v>
      </c>
      <c r="K10">
        <v>-1.2899043560028101</v>
      </c>
      <c r="L10">
        <v>29.858000000000001</v>
      </c>
      <c r="M10">
        <v>0.76600000000000001</v>
      </c>
      <c r="N10" s="5">
        <v>4.7300000000000004</v>
      </c>
    </row>
    <row r="11" spans="1:14" x14ac:dyDescent="0.3">
      <c r="A11" s="1" t="s">
        <v>0</v>
      </c>
      <c r="B11" s="2">
        <v>2016</v>
      </c>
      <c r="C11" s="3">
        <v>32</v>
      </c>
      <c r="D11">
        <v>55.6</v>
      </c>
      <c r="E11">
        <v>2501.6</v>
      </c>
      <c r="F11">
        <v>5.8624729151857196</v>
      </c>
      <c r="G11">
        <v>6.9288252581607601</v>
      </c>
      <c r="H11" s="4">
        <v>45.50189956800147</v>
      </c>
      <c r="I11">
        <v>21140418</v>
      </c>
      <c r="J11" s="4">
        <v>-0.808124959468842</v>
      </c>
      <c r="K11">
        <v>-1.01163554191589</v>
      </c>
      <c r="L11">
        <v>30.082000000000001</v>
      </c>
      <c r="M11">
        <v>1.0429999999999999</v>
      </c>
      <c r="N11" s="5">
        <v>4.8499999999999996</v>
      </c>
    </row>
    <row r="12" spans="1:14" x14ac:dyDescent="0.3">
      <c r="A12" s="1" t="s">
        <v>0</v>
      </c>
      <c r="B12" s="2">
        <v>2017</v>
      </c>
      <c r="C12" s="3">
        <v>44</v>
      </c>
      <c r="D12">
        <v>69.8</v>
      </c>
      <c r="E12">
        <v>3203.9</v>
      </c>
      <c r="F12">
        <v>6.1361082436030472</v>
      </c>
      <c r="G12">
        <v>4.5725365531752002</v>
      </c>
      <c r="H12" s="4">
        <v>45.060160857908848</v>
      </c>
      <c r="I12">
        <v>23630088</v>
      </c>
      <c r="J12" s="4">
        <v>-1.08409428596497</v>
      </c>
      <c r="K12">
        <v>-1.08796751499176</v>
      </c>
      <c r="L12">
        <v>30.321999999999999</v>
      </c>
      <c r="M12">
        <v>1.3560000000000001</v>
      </c>
      <c r="N12" s="5">
        <v>5.36</v>
      </c>
    </row>
    <row r="13" spans="1:14" x14ac:dyDescent="0.3">
      <c r="A13" s="1" t="s">
        <v>0</v>
      </c>
      <c r="B13" s="2">
        <v>2018</v>
      </c>
      <c r="C13" s="3">
        <v>48</v>
      </c>
      <c r="D13">
        <v>66.099999999999994</v>
      </c>
      <c r="E13">
        <v>3270.8</v>
      </c>
      <c r="F13">
        <v>6.2688622147107509</v>
      </c>
      <c r="G13">
        <v>6.8723286566293504</v>
      </c>
      <c r="H13" s="4">
        <v>44.619748736019609</v>
      </c>
      <c r="I13">
        <v>34016840</v>
      </c>
      <c r="J13" s="4">
        <v>-1.26694679260254</v>
      </c>
      <c r="K13">
        <v>-1.09122586250305</v>
      </c>
      <c r="L13">
        <v>30.579000000000001</v>
      </c>
      <c r="M13">
        <v>0.76700000000000002</v>
      </c>
      <c r="N13" s="5">
        <v>5.87</v>
      </c>
    </row>
    <row r="14" spans="1:14" x14ac:dyDescent="0.3">
      <c r="A14" s="1" t="s">
        <v>0</v>
      </c>
      <c r="B14" s="2">
        <v>2019</v>
      </c>
      <c r="C14" s="3">
        <v>88</v>
      </c>
      <c r="D14">
        <v>68.3</v>
      </c>
      <c r="E14">
        <v>3197.22</v>
      </c>
      <c r="F14">
        <v>6.5791100676541419</v>
      </c>
      <c r="G14">
        <v>8.8250669680455793</v>
      </c>
      <c r="H14" s="4">
        <v>44.175884786272405</v>
      </c>
      <c r="I14">
        <v>33616924</v>
      </c>
      <c r="J14" s="4">
        <v>-1.3304589986801101</v>
      </c>
      <c r="K14">
        <v>-1.1853215694427499</v>
      </c>
      <c r="L14">
        <v>30.852</v>
      </c>
      <c r="M14">
        <v>0.40699999999999997</v>
      </c>
      <c r="N14" s="5">
        <v>6.38</v>
      </c>
    </row>
    <row r="15" spans="1:14" x14ac:dyDescent="0.3">
      <c r="A15" s="1" t="s">
        <v>0</v>
      </c>
      <c r="B15" s="2">
        <v>2020</v>
      </c>
      <c r="C15" s="3">
        <v>84</v>
      </c>
      <c r="D15">
        <v>70.400000000000006</v>
      </c>
      <c r="E15">
        <v>3183.1</v>
      </c>
      <c r="F15">
        <v>-9.0483471798464308</v>
      </c>
      <c r="G15">
        <v>2</v>
      </c>
      <c r="H15" s="4">
        <v>43.73403098043422</v>
      </c>
      <c r="I15">
        <v>34609780</v>
      </c>
      <c r="J15" s="4">
        <v>-1.5117045640945399</v>
      </c>
      <c r="K15">
        <v>-1.01391088962555</v>
      </c>
      <c r="L15">
        <v>31.140999999999998</v>
      </c>
      <c r="M15">
        <v>1.476</v>
      </c>
      <c r="N15" s="5">
        <v>6.52</v>
      </c>
    </row>
    <row r="16" spans="1:14" x14ac:dyDescent="0.3">
      <c r="A16" s="1" t="s">
        <v>0</v>
      </c>
      <c r="B16" s="2">
        <v>2021</v>
      </c>
      <c r="C16" s="3">
        <v>110</v>
      </c>
      <c r="D16">
        <v>72.5</v>
      </c>
      <c r="E16">
        <v>3064.85</v>
      </c>
      <c r="F16">
        <v>-12.016372482917674</v>
      </c>
      <c r="G16">
        <v>7.3</v>
      </c>
      <c r="H16" s="4">
        <v>43.290146628464612</v>
      </c>
      <c r="I16">
        <v>35619332</v>
      </c>
      <c r="J16" s="4">
        <v>-2.0839693546295202</v>
      </c>
      <c r="K16">
        <v>-1.41239774227142</v>
      </c>
      <c r="L16">
        <v>31.448</v>
      </c>
      <c r="M16">
        <v>4.34</v>
      </c>
      <c r="N16" s="5">
        <v>6.52</v>
      </c>
    </row>
    <row r="17" spans="1:14" x14ac:dyDescent="0.3">
      <c r="A17" s="1" t="s">
        <v>0</v>
      </c>
      <c r="B17" s="2">
        <v>2022</v>
      </c>
      <c r="C17" s="3">
        <v>181</v>
      </c>
      <c r="D17">
        <v>73.7</v>
      </c>
      <c r="E17">
        <f>ROUND(((E15-E14)/E14)*E16+E16,2)</f>
        <v>3051.31</v>
      </c>
      <c r="F17">
        <v>4.0374934360085035</v>
      </c>
      <c r="G17">
        <v>31.4</v>
      </c>
      <c r="H17" s="4">
        <f>((H15-H14)/H14)*H16+H16</f>
        <v>42.857152108136994</v>
      </c>
      <c r="I17">
        <v>34922210</v>
      </c>
      <c r="J17" s="4">
        <v>-2.21174263954163</v>
      </c>
      <c r="K17">
        <v>-1.6840410232543901</v>
      </c>
      <c r="L17">
        <v>31.771000000000001</v>
      </c>
      <c r="M17">
        <v>2.83</v>
      </c>
      <c r="N17" s="5">
        <v>6.52</v>
      </c>
    </row>
    <row r="18" spans="1:14" ht="15" thickBot="1" x14ac:dyDescent="0.35">
      <c r="A18" s="1" t="s">
        <v>0</v>
      </c>
      <c r="B18" s="2">
        <v>2023</v>
      </c>
      <c r="C18" s="8">
        <v>181</v>
      </c>
      <c r="D18" s="9">
        <f>ROUND(((D17-D16)/D16)*D17+D17,1)</f>
        <v>74.900000000000006</v>
      </c>
      <c r="E18" s="9">
        <f>ROUND(((E16-E15)/E15)*E17+E17,2)</f>
        <v>2937.96</v>
      </c>
      <c r="F18" s="9">
        <v>1.0022383428977264</v>
      </c>
      <c r="G18" s="9">
        <v>20</v>
      </c>
      <c r="H18" s="11">
        <f>((H16-H15)/H15)*H17+H17</f>
        <v>42.422167754664201</v>
      </c>
      <c r="I18" s="9">
        <f>ROUND(((I17-I16)/I16)*I17+I17,1)</f>
        <v>34238731.700000003</v>
      </c>
      <c r="J18" s="11">
        <f>((J17-J16)/J16)*J17+J17</f>
        <v>-2.3473500187032368</v>
      </c>
      <c r="K18" s="9">
        <f>((K17-K16)/K16)*K17+K17</f>
        <v>-2.0079288454843063</v>
      </c>
      <c r="L18" s="9">
        <v>32.112000000000002</v>
      </c>
      <c r="M18" s="9">
        <v>2.8410000000000002</v>
      </c>
      <c r="N18" s="10">
        <f>ROUND(((N17-N16)/N16)*N17+N17,2)</f>
        <v>6.52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awinv</dc:creator>
  <cp:lastModifiedBy>awinv</cp:lastModifiedBy>
  <dcterms:created xsi:type="dcterms:W3CDTF">2024-12-08T08:21:11Z</dcterms:created>
  <dcterms:modified xsi:type="dcterms:W3CDTF">2025-05-15T21:38:38Z</dcterms:modified>
</cp:coreProperties>
</file>