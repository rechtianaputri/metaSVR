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1C12CA4C-6C18-4A91-B1E0-832F007C0AC0}" xr6:coauthVersionLast="47" xr6:coauthVersionMax="47" xr10:uidLastSave="{00000000-0000-0000-0000-000000000000}"/>
  <bookViews>
    <workbookView xWindow="4596" yWindow="4596" windowWidth="10116" windowHeight="6000" xr2:uid="{AE87E1D8-56F8-4C8C-B9DF-C69990D4A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" i="1" l="1"/>
  <c r="R18" i="1"/>
  <c r="Q18" i="1"/>
  <c r="P18" i="1"/>
  <c r="O18" i="1"/>
  <c r="N18" i="1"/>
  <c r="G18" i="1"/>
  <c r="M17" i="1"/>
  <c r="M18" i="1" s="1"/>
  <c r="F17" i="1"/>
  <c r="F18" i="1" s="1"/>
</calcChain>
</file>

<file path=xl/sharedStrings.xml><?xml version="1.0" encoding="utf-8"?>
<sst xmlns="http://schemas.openxmlformats.org/spreadsheetml/2006/main" count="39" uniqueCount="23">
  <si>
    <t>Malaysia</t>
  </si>
  <si>
    <t>Country</t>
  </si>
  <si>
    <t>Year</t>
  </si>
  <si>
    <t>Solar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</si>
  <si>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</si>
  <si>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</si>
  <si>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</si>
  <si>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</si>
  <si>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</si>
  <si>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</si>
  <si>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</si>
  <si>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GDP_Growth</t>
  </si>
  <si>
    <t>IEF</t>
  </si>
  <si>
    <t>Forest_Area</t>
  </si>
  <si>
    <t>CO2</t>
  </si>
  <si>
    <t>N2O</t>
  </si>
  <si>
    <t>Carbon_Intensity</t>
  </si>
  <si>
    <t>Control_Corruption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</si>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</sst>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75C4FE3C-03F5-4502-B258-496FD55C0C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3B32-FFE9-46D1-8FD7-A2A23D2A275D}">
  <dimension ref="A1:V18"/>
  <sheetViews>
    <sheetView tabSelected="1" workbookViewId="0">
      <selection activeCell="V1" sqref="D1:V1"/>
    </sheetView>
  </sheetViews>
  <sheetFormatPr defaultRowHeight="14.4" x14ac:dyDescent="0.3"/>
  <cols>
    <col min="4" max="4" width="14.6640625" bestFit="1" customWidth="1"/>
    <col min="5" max="5" width="10.21875" bestFit="1" customWidth="1"/>
    <col min="6" max="6" width="15" bestFit="1" customWidth="1"/>
    <col min="7" max="7" width="12.109375" bestFit="1" customWidth="1"/>
    <col min="8" max="8" width="10.77734375" bestFit="1" customWidth="1"/>
    <col min="9" max="9" width="13.6640625" bestFit="1" customWidth="1"/>
    <col min="10" max="10" width="16.21875" bestFit="1" customWidth="1"/>
    <col min="11" max="11" width="12.6640625" bestFit="1" customWidth="1"/>
    <col min="13" max="14" width="12" bestFit="1" customWidth="1"/>
    <col min="15" max="15" width="11" bestFit="1" customWidth="1"/>
    <col min="16" max="16" width="15" bestFit="1" customWidth="1"/>
    <col min="17" max="17" width="17" bestFit="1" customWidth="1"/>
    <col min="18" max="19" width="12" bestFit="1" customWidth="1"/>
    <col min="20" max="20" width="11.44140625" bestFit="1" customWidth="1"/>
    <col min="21" max="21" width="13.6640625" bestFit="1" customWidth="1"/>
    <col min="22" max="22" width="9.109375" bestFit="1" customWidth="1"/>
  </cols>
  <sheetData>
    <row r="1" spans="1:22" x14ac:dyDescent="0.3">
      <c r="A1" s="3" t="s">
        <v>1</v>
      </c>
      <c r="B1" s="3" t="s">
        <v>2</v>
      </c>
      <c r="C1" s="4" t="s">
        <v>3</v>
      </c>
      <c r="D1" s="5" t="s">
        <v>4</v>
      </c>
      <c r="E1" s="5" t="s">
        <v>5</v>
      </c>
      <c r="F1" s="6" t="s">
        <v>6</v>
      </c>
      <c r="G1" s="4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6" t="s">
        <v>12</v>
      </c>
      <c r="M1" s="4" t="s">
        <v>13</v>
      </c>
      <c r="N1" s="5" t="s">
        <v>14</v>
      </c>
      <c r="O1" s="5" t="s">
        <v>15</v>
      </c>
      <c r="P1" s="6" t="s">
        <v>16</v>
      </c>
      <c r="Q1" s="5" t="s">
        <v>17</v>
      </c>
      <c r="R1" s="6" t="s">
        <v>18</v>
      </c>
      <c r="S1" s="4" t="s">
        <v>19</v>
      </c>
      <c r="T1" s="5" t="s">
        <v>20</v>
      </c>
      <c r="U1" s="5" t="s">
        <v>21</v>
      </c>
      <c r="V1" s="6" t="s">
        <v>22</v>
      </c>
    </row>
    <row r="2" spans="1:22" x14ac:dyDescent="0.3">
      <c r="A2" s="1" t="s">
        <v>0</v>
      </c>
      <c r="B2" s="2">
        <v>2007</v>
      </c>
      <c r="C2" s="7">
        <v>7</v>
      </c>
      <c r="D2">
        <v>6.19</v>
      </c>
      <c r="E2">
        <v>3.46</v>
      </c>
      <c r="F2" s="8">
        <v>2.8</v>
      </c>
      <c r="G2" s="9">
        <v>106.29</v>
      </c>
      <c r="H2">
        <v>98.9</v>
      </c>
      <c r="I2">
        <v>33221.480000000003</v>
      </c>
      <c r="J2">
        <v>12.060307090638402</v>
      </c>
      <c r="K2">
        <v>6.2987859274094689</v>
      </c>
      <c r="L2" s="10">
        <v>63.8</v>
      </c>
      <c r="M2" s="9">
        <v>58.349596712829097</v>
      </c>
      <c r="N2">
        <v>175450780</v>
      </c>
      <c r="O2">
        <v>8741017</v>
      </c>
      <c r="P2" s="10">
        <v>662.27</v>
      </c>
      <c r="Q2">
        <v>0.16680128872394601</v>
      </c>
      <c r="R2" s="10">
        <v>0.36687648296356201</v>
      </c>
      <c r="S2" s="9">
        <v>2.1760898040312102</v>
      </c>
      <c r="T2">
        <v>68.36</v>
      </c>
      <c r="U2">
        <v>3.23</v>
      </c>
      <c r="V2" s="10">
        <v>8.58</v>
      </c>
    </row>
    <row r="3" spans="1:22" x14ac:dyDescent="0.3">
      <c r="A3" s="1" t="s">
        <v>0</v>
      </c>
      <c r="B3" s="2">
        <v>2008</v>
      </c>
      <c r="C3" s="7">
        <v>9</v>
      </c>
      <c r="D3">
        <v>7.56</v>
      </c>
      <c r="E3">
        <v>0.83</v>
      </c>
      <c r="F3" s="8">
        <v>3</v>
      </c>
      <c r="G3" s="9">
        <v>113.35</v>
      </c>
      <c r="H3">
        <v>99</v>
      </c>
      <c r="I3">
        <v>33712.129999999997</v>
      </c>
      <c r="J3">
        <v>12.205399841307285</v>
      </c>
      <c r="K3">
        <v>4.8317698891309675</v>
      </c>
      <c r="L3" s="10">
        <v>63.9</v>
      </c>
      <c r="M3" s="9">
        <v>58.12323847207427</v>
      </c>
      <c r="N3">
        <v>192847060</v>
      </c>
      <c r="O3">
        <v>9359700</v>
      </c>
      <c r="P3" s="10">
        <v>651.05999999999995</v>
      </c>
      <c r="Q3">
        <v>-9.0506412088871002E-2</v>
      </c>
      <c r="R3" s="10">
        <v>0.247283861041069</v>
      </c>
      <c r="S3" s="9">
        <v>2.0881853201788299</v>
      </c>
      <c r="T3">
        <v>69.224999999999994</v>
      </c>
      <c r="U3">
        <v>3.32</v>
      </c>
      <c r="V3" s="10">
        <v>9.07</v>
      </c>
    </row>
    <row r="4" spans="1:22" x14ac:dyDescent="0.3">
      <c r="A4" s="1" t="s">
        <v>0</v>
      </c>
      <c r="B4" s="2">
        <v>2009</v>
      </c>
      <c r="C4" s="7">
        <v>11</v>
      </c>
      <c r="D4">
        <v>7.13</v>
      </c>
      <c r="E4">
        <v>5.7</v>
      </c>
      <c r="F4" s="8">
        <v>2.2999999999999998</v>
      </c>
      <c r="G4" s="9">
        <v>116.02</v>
      </c>
      <c r="H4">
        <v>99.3</v>
      </c>
      <c r="I4">
        <v>32003.47</v>
      </c>
      <c r="J4">
        <v>12.85753834228448</v>
      </c>
      <c r="K4">
        <v>-1.5135287159871353</v>
      </c>
      <c r="L4" s="10">
        <v>64.599999999999994</v>
      </c>
      <c r="M4" s="9">
        <v>57.896880231319436</v>
      </c>
      <c r="N4">
        <v>192119070</v>
      </c>
      <c r="O4">
        <v>8142411</v>
      </c>
      <c r="P4" s="10">
        <v>666.61</v>
      </c>
      <c r="Q4">
        <v>-9.3942709267139393E-2</v>
      </c>
      <c r="R4" s="10">
        <v>0.37388545274734503</v>
      </c>
      <c r="S4" s="9">
        <v>1.9789234138259599</v>
      </c>
      <c r="T4">
        <v>70.075000000000003</v>
      </c>
      <c r="U4">
        <v>3.66</v>
      </c>
      <c r="V4" s="10">
        <v>9.56</v>
      </c>
    </row>
    <row r="5" spans="1:22" x14ac:dyDescent="0.3">
      <c r="A5" s="1" t="s">
        <v>0</v>
      </c>
      <c r="B5" s="2">
        <v>2010</v>
      </c>
      <c r="C5" s="7">
        <v>13</v>
      </c>
      <c r="D5">
        <v>6.09</v>
      </c>
      <c r="E5">
        <v>-1.38</v>
      </c>
      <c r="F5" s="10">
        <v>2</v>
      </c>
      <c r="G5" s="9">
        <v>124.89</v>
      </c>
      <c r="H5">
        <v>99.5</v>
      </c>
      <c r="I5">
        <v>32487.75</v>
      </c>
      <c r="J5">
        <v>13.402360204508184</v>
      </c>
      <c r="K5">
        <v>7.4248473832609676</v>
      </c>
      <c r="L5" s="10">
        <v>64.8</v>
      </c>
      <c r="M5" s="9">
        <v>57.670521990564602</v>
      </c>
      <c r="N5">
        <v>199346100</v>
      </c>
      <c r="O5">
        <v>9634004</v>
      </c>
      <c r="P5" s="10">
        <v>688.98</v>
      </c>
      <c r="Q5">
        <v>5.7084448635578197E-2</v>
      </c>
      <c r="R5" s="10">
        <v>0.39389044046402</v>
      </c>
      <c r="S5" s="9">
        <v>1.7582874032315099</v>
      </c>
      <c r="T5">
        <v>70.912000000000006</v>
      </c>
      <c r="U5">
        <v>3.39</v>
      </c>
      <c r="V5" s="10">
        <v>9.6999999999999993</v>
      </c>
    </row>
    <row r="6" spans="1:22" x14ac:dyDescent="0.3">
      <c r="A6" s="1" t="s">
        <v>0</v>
      </c>
      <c r="B6" s="2">
        <v>2011</v>
      </c>
      <c r="C6" s="7">
        <v>14</v>
      </c>
      <c r="D6">
        <v>7.55</v>
      </c>
      <c r="E6">
        <v>39.26</v>
      </c>
      <c r="F6" s="10">
        <v>2.2000000000000002</v>
      </c>
      <c r="G6" s="9">
        <v>127.43</v>
      </c>
      <c r="H6">
        <v>99.5</v>
      </c>
      <c r="I6">
        <v>32524.59</v>
      </c>
      <c r="J6">
        <v>13.387062789717655</v>
      </c>
      <c r="K6">
        <v>5.2939128341400306</v>
      </c>
      <c r="L6" s="10">
        <v>66.3</v>
      </c>
      <c r="M6" s="9">
        <v>57.984976411505109</v>
      </c>
      <c r="N6">
        <v>203452350</v>
      </c>
      <c r="O6">
        <v>9834987</v>
      </c>
      <c r="P6" s="10">
        <v>685.68</v>
      </c>
      <c r="Q6">
        <v>2.2571574896574E-2</v>
      </c>
      <c r="R6" s="10">
        <v>0.40263152122497597</v>
      </c>
      <c r="S6" s="9">
        <v>1.61104342924472</v>
      </c>
      <c r="T6">
        <v>71.608999999999995</v>
      </c>
      <c r="U6">
        <v>3.05</v>
      </c>
      <c r="V6" s="10">
        <v>9.81</v>
      </c>
    </row>
    <row r="7" spans="1:22" x14ac:dyDescent="0.3">
      <c r="A7" s="1" t="s">
        <v>0</v>
      </c>
      <c r="B7" s="2">
        <v>2012</v>
      </c>
      <c r="C7" s="7">
        <v>25</v>
      </c>
      <c r="D7">
        <v>8.02</v>
      </c>
      <c r="E7">
        <v>8.8800000000000008</v>
      </c>
      <c r="F7" s="10">
        <v>2.5</v>
      </c>
      <c r="G7" s="9">
        <v>134.16999999999999</v>
      </c>
      <c r="H7">
        <v>99.8</v>
      </c>
      <c r="I7">
        <v>35010.120000000003</v>
      </c>
      <c r="J7">
        <v>12.912048227578701</v>
      </c>
      <c r="K7">
        <v>5.4734541925385258</v>
      </c>
      <c r="L7" s="10">
        <v>66.400000000000006</v>
      </c>
      <c r="M7" s="9">
        <v>58.299430832445594</v>
      </c>
      <c r="N7">
        <v>212989970</v>
      </c>
      <c r="O7">
        <v>10002334</v>
      </c>
      <c r="P7" s="10">
        <v>682.73</v>
      </c>
      <c r="Q7">
        <v>0.213312953710556</v>
      </c>
      <c r="R7" s="10">
        <v>0.37976944446563698</v>
      </c>
      <c r="S7" s="9">
        <v>1.6181313184672901</v>
      </c>
      <c r="T7">
        <v>72.275000000000006</v>
      </c>
      <c r="U7">
        <v>3.1</v>
      </c>
      <c r="V7" s="10">
        <v>9.92</v>
      </c>
    </row>
    <row r="8" spans="1:22" x14ac:dyDescent="0.3">
      <c r="A8" s="1" t="s">
        <v>0</v>
      </c>
      <c r="B8" s="2">
        <v>2013</v>
      </c>
      <c r="C8" s="7">
        <v>97</v>
      </c>
      <c r="D8">
        <v>9.25</v>
      </c>
      <c r="E8">
        <v>33.86</v>
      </c>
      <c r="F8" s="10">
        <v>2.8</v>
      </c>
      <c r="G8" s="9">
        <v>141.16</v>
      </c>
      <c r="H8">
        <v>99.6</v>
      </c>
      <c r="I8">
        <v>36062.550000000003</v>
      </c>
      <c r="J8">
        <v>12.971823987338277</v>
      </c>
      <c r="K8">
        <v>4.6937225255789343</v>
      </c>
      <c r="L8" s="10">
        <v>66.099999999999994</v>
      </c>
      <c r="M8" s="9">
        <v>58.613885253386087</v>
      </c>
      <c r="N8">
        <v>241671090</v>
      </c>
      <c r="O8">
        <v>9372988</v>
      </c>
      <c r="P8" s="10">
        <v>666.03</v>
      </c>
      <c r="Q8">
        <v>0.33329123258590698</v>
      </c>
      <c r="R8" s="10">
        <v>0.341402947902679</v>
      </c>
      <c r="S8" s="9">
        <v>1.5874398043597699</v>
      </c>
      <c r="T8">
        <v>72.930000000000007</v>
      </c>
      <c r="U8">
        <v>3.16</v>
      </c>
      <c r="V8" s="10">
        <v>10.029999999999999</v>
      </c>
    </row>
    <row r="9" spans="1:22" x14ac:dyDescent="0.3">
      <c r="A9" s="1" t="s">
        <v>0</v>
      </c>
      <c r="B9" s="2">
        <v>2014</v>
      </c>
      <c r="C9" s="7">
        <v>205</v>
      </c>
      <c r="D9">
        <v>9.6999999999999993</v>
      </c>
      <c r="E9">
        <v>12.68</v>
      </c>
      <c r="F9" s="10">
        <v>3</v>
      </c>
      <c r="G9" s="9">
        <v>147.47999999999999</v>
      </c>
      <c r="H9">
        <v>99.7</v>
      </c>
      <c r="I9">
        <v>35862.22</v>
      </c>
      <c r="J9">
        <v>13.435433027823837</v>
      </c>
      <c r="K9">
        <v>6.0067219455820293</v>
      </c>
      <c r="L9" s="10">
        <v>69.599999999999994</v>
      </c>
      <c r="M9" s="9">
        <v>58.928339674326594</v>
      </c>
      <c r="N9">
        <v>245049710</v>
      </c>
      <c r="O9">
        <v>9803516</v>
      </c>
      <c r="P9" s="10">
        <v>662.3</v>
      </c>
      <c r="Q9">
        <v>0.39668908715248102</v>
      </c>
      <c r="R9" s="10">
        <v>0.52419072389602706</v>
      </c>
      <c r="S9" s="9">
        <v>1.5530182714316101</v>
      </c>
      <c r="T9">
        <v>73.576999999999998</v>
      </c>
      <c r="U9">
        <v>2.88</v>
      </c>
      <c r="V9" s="10">
        <v>10.14</v>
      </c>
    </row>
    <row r="10" spans="1:22" x14ac:dyDescent="0.3">
      <c r="A10" s="1" t="s">
        <v>0</v>
      </c>
      <c r="B10" s="2">
        <v>2015</v>
      </c>
      <c r="C10" s="7">
        <v>266</v>
      </c>
      <c r="D10">
        <v>9.9499999999999993</v>
      </c>
      <c r="E10">
        <v>18.23</v>
      </c>
      <c r="F10" s="10">
        <v>3.4</v>
      </c>
      <c r="G10" s="9">
        <v>150.12</v>
      </c>
      <c r="H10">
        <v>99.9</v>
      </c>
      <c r="I10">
        <v>35874.36</v>
      </c>
      <c r="J10">
        <v>13.467974196326837</v>
      </c>
      <c r="K10">
        <v>5.091532421550113</v>
      </c>
      <c r="L10" s="10">
        <v>70.8</v>
      </c>
      <c r="M10" s="9">
        <v>59.24279409526708</v>
      </c>
      <c r="N10">
        <v>235505740</v>
      </c>
      <c r="O10">
        <v>9514686</v>
      </c>
      <c r="P10" s="10">
        <v>669.18</v>
      </c>
      <c r="Q10">
        <v>0.18179413676261899</v>
      </c>
      <c r="R10" s="10">
        <v>0.40231487154960599</v>
      </c>
      <c r="S10" s="9">
        <v>1.4994097236156401</v>
      </c>
      <c r="T10">
        <v>74.212999999999994</v>
      </c>
      <c r="U10">
        <v>3.1</v>
      </c>
      <c r="V10" s="10">
        <v>10.25</v>
      </c>
    </row>
    <row r="11" spans="1:22" x14ac:dyDescent="0.3">
      <c r="A11" s="1" t="s">
        <v>0</v>
      </c>
      <c r="B11" s="2">
        <v>2016</v>
      </c>
      <c r="C11" s="7">
        <v>344</v>
      </c>
      <c r="D11">
        <v>13.46</v>
      </c>
      <c r="E11">
        <v>5.67</v>
      </c>
      <c r="F11" s="10">
        <v>4.4000000000000004</v>
      </c>
      <c r="G11" s="9">
        <v>155.99</v>
      </c>
      <c r="H11">
        <v>99.9</v>
      </c>
      <c r="I11">
        <v>37184.79</v>
      </c>
      <c r="J11">
        <v>13.362620489635759</v>
      </c>
      <c r="K11">
        <v>4.4497813976154106</v>
      </c>
      <c r="L11" s="10">
        <v>71.5</v>
      </c>
      <c r="M11" s="9">
        <v>58.78752092527774</v>
      </c>
      <c r="N11">
        <v>236817360</v>
      </c>
      <c r="O11">
        <v>9367972</v>
      </c>
      <c r="P11" s="10">
        <v>649.28</v>
      </c>
      <c r="Q11">
        <v>2.7578534558415399E-2</v>
      </c>
      <c r="R11" s="10">
        <v>0.38782390952110302</v>
      </c>
      <c r="S11" s="9">
        <v>1.4620698661924001</v>
      </c>
      <c r="T11">
        <v>74.84</v>
      </c>
      <c r="U11">
        <v>3.44</v>
      </c>
      <c r="V11" s="10">
        <v>10.37</v>
      </c>
    </row>
    <row r="12" spans="1:22" x14ac:dyDescent="0.3">
      <c r="A12" s="1" t="s">
        <v>0</v>
      </c>
      <c r="B12" s="2">
        <v>2017</v>
      </c>
      <c r="C12" s="7">
        <v>394</v>
      </c>
      <c r="D12">
        <v>17.39</v>
      </c>
      <c r="E12">
        <v>-8.17</v>
      </c>
      <c r="F12" s="10">
        <v>5.2</v>
      </c>
      <c r="G12" s="9">
        <v>159.52000000000001</v>
      </c>
      <c r="H12">
        <v>100</v>
      </c>
      <c r="I12">
        <v>37168.01</v>
      </c>
      <c r="J12">
        <v>13.516424340333872</v>
      </c>
      <c r="K12">
        <v>5.8127224098332846</v>
      </c>
      <c r="L12" s="10">
        <v>73.8</v>
      </c>
      <c r="M12" s="9">
        <v>58.634880535687103</v>
      </c>
      <c r="N12">
        <v>244105580</v>
      </c>
      <c r="O12">
        <v>9187490</v>
      </c>
      <c r="P12" s="10">
        <v>620.58000000000004</v>
      </c>
      <c r="Q12">
        <v>-5.9014647267758803E-3</v>
      </c>
      <c r="R12" s="10">
        <v>0.386965662240982</v>
      </c>
      <c r="S12" s="9">
        <v>1.41536933264598</v>
      </c>
      <c r="T12">
        <v>75.447000000000003</v>
      </c>
      <c r="U12">
        <v>3.41</v>
      </c>
      <c r="V12" s="10">
        <v>10.46</v>
      </c>
    </row>
    <row r="13" spans="1:22" x14ac:dyDescent="0.3">
      <c r="A13" s="1" t="s">
        <v>0</v>
      </c>
      <c r="B13" s="2">
        <v>2018</v>
      </c>
      <c r="C13" s="7">
        <v>545</v>
      </c>
      <c r="D13">
        <v>16.600000000000001</v>
      </c>
      <c r="E13">
        <v>2.48</v>
      </c>
      <c r="F13" s="10">
        <v>5.3</v>
      </c>
      <c r="G13" s="9">
        <v>169.09</v>
      </c>
      <c r="H13">
        <v>100</v>
      </c>
      <c r="I13">
        <v>37333.42</v>
      </c>
      <c r="J13">
        <v>14.102415714545547</v>
      </c>
      <c r="K13">
        <v>4.8430869763488147</v>
      </c>
      <c r="L13" s="10">
        <v>74.5</v>
      </c>
      <c r="M13" s="9">
        <v>58.482240146096487</v>
      </c>
      <c r="N13">
        <v>262207180</v>
      </c>
      <c r="O13">
        <v>8590777</v>
      </c>
      <c r="P13" s="10">
        <v>630.32000000000005</v>
      </c>
      <c r="Q13">
        <v>0.30033087730407698</v>
      </c>
      <c r="R13" s="10">
        <v>0.52912813425064098</v>
      </c>
      <c r="S13" s="9">
        <v>1.31563682048248</v>
      </c>
      <c r="T13">
        <v>76.036000000000001</v>
      </c>
      <c r="U13">
        <v>3.3</v>
      </c>
      <c r="V13" s="10">
        <v>10.55</v>
      </c>
    </row>
    <row r="14" spans="1:22" x14ac:dyDescent="0.3">
      <c r="A14" s="1" t="s">
        <v>0</v>
      </c>
      <c r="B14" s="2">
        <v>2019</v>
      </c>
      <c r="C14" s="7">
        <v>894</v>
      </c>
      <c r="D14">
        <v>16.100000000000001</v>
      </c>
      <c r="E14">
        <v>5.86</v>
      </c>
      <c r="F14" s="10">
        <v>5.7</v>
      </c>
      <c r="G14" s="9">
        <v>176.84</v>
      </c>
      <c r="H14">
        <v>100</v>
      </c>
      <c r="I14">
        <v>37824.06</v>
      </c>
      <c r="J14">
        <v>14.386111961830462</v>
      </c>
      <c r="K14">
        <v>4.4131874212958593</v>
      </c>
      <c r="L14" s="10">
        <v>74</v>
      </c>
      <c r="M14" s="9">
        <v>58.329599756505857</v>
      </c>
      <c r="N14">
        <v>267494290</v>
      </c>
      <c r="O14">
        <v>8065553</v>
      </c>
      <c r="P14" s="10">
        <v>626.27</v>
      </c>
      <c r="Q14">
        <v>0.233307585120201</v>
      </c>
      <c r="R14" s="10">
        <v>0.491362243890762</v>
      </c>
      <c r="S14" s="9">
        <v>1.24151463105699</v>
      </c>
      <c r="T14">
        <v>76.606999999999999</v>
      </c>
      <c r="U14">
        <v>3.26</v>
      </c>
      <c r="V14" s="10">
        <v>10.64</v>
      </c>
    </row>
    <row r="15" spans="1:22" x14ac:dyDescent="0.3">
      <c r="A15" s="1" t="s">
        <v>0</v>
      </c>
      <c r="B15" s="2">
        <v>2020</v>
      </c>
      <c r="C15" s="7">
        <v>1483</v>
      </c>
      <c r="D15">
        <v>18.18</v>
      </c>
      <c r="E15">
        <v>7.65</v>
      </c>
      <c r="F15" s="10">
        <v>7</v>
      </c>
      <c r="G15" s="9">
        <v>168.06</v>
      </c>
      <c r="H15">
        <v>100</v>
      </c>
      <c r="I15">
        <v>36037.040000000001</v>
      </c>
      <c r="J15">
        <v>14.176341281980559</v>
      </c>
      <c r="K15">
        <v>-5.4568465842670122</v>
      </c>
      <c r="L15" s="10">
        <v>74.7</v>
      </c>
      <c r="M15" s="9">
        <v>58.176959366915227</v>
      </c>
      <c r="N15">
        <v>269248670</v>
      </c>
      <c r="O15">
        <v>8418551</v>
      </c>
      <c r="P15" s="10">
        <v>626.97</v>
      </c>
      <c r="Q15">
        <v>0.22910985350608801</v>
      </c>
      <c r="R15" s="10">
        <v>0.57221460342407204</v>
      </c>
      <c r="S15" s="9">
        <v>1.19985962233223</v>
      </c>
      <c r="T15">
        <v>77.16</v>
      </c>
      <c r="U15">
        <v>4.54</v>
      </c>
      <c r="V15" s="10">
        <v>10.75</v>
      </c>
    </row>
    <row r="16" spans="1:22" x14ac:dyDescent="0.3">
      <c r="A16" s="1" t="s">
        <v>0</v>
      </c>
      <c r="B16" s="2">
        <v>2021</v>
      </c>
      <c r="C16" s="7">
        <v>1787</v>
      </c>
      <c r="D16">
        <v>19.739999999999998</v>
      </c>
      <c r="E16">
        <v>3.91</v>
      </c>
      <c r="F16" s="10">
        <v>7.5</v>
      </c>
      <c r="G16" s="9">
        <v>173.63</v>
      </c>
      <c r="H16">
        <v>100</v>
      </c>
      <c r="I16">
        <v>37131.54</v>
      </c>
      <c r="J16">
        <v>14.003128384069305</v>
      </c>
      <c r="K16">
        <v>3.2976410083183794</v>
      </c>
      <c r="L16" s="10">
        <v>74.400000000000006</v>
      </c>
      <c r="M16" s="9">
        <v>58.024318977324604</v>
      </c>
      <c r="N16">
        <v>278861220</v>
      </c>
      <c r="O16">
        <v>9189401</v>
      </c>
      <c r="P16" s="10">
        <v>607.09</v>
      </c>
      <c r="Q16">
        <v>0.14678631722927099</v>
      </c>
      <c r="R16" s="10">
        <v>0.53297388553619396</v>
      </c>
      <c r="S16" s="9">
        <v>1.11985399101</v>
      </c>
      <c r="T16">
        <v>77.695999999999998</v>
      </c>
      <c r="U16">
        <v>4.6399999999999997</v>
      </c>
      <c r="V16" s="10">
        <v>10.75</v>
      </c>
    </row>
    <row r="17" spans="1:22" x14ac:dyDescent="0.3">
      <c r="A17" s="1" t="s">
        <v>0</v>
      </c>
      <c r="B17" s="2">
        <v>2022</v>
      </c>
      <c r="C17" s="7">
        <v>1933</v>
      </c>
      <c r="D17">
        <v>19.100000000000001</v>
      </c>
      <c r="E17">
        <v>1.64</v>
      </c>
      <c r="F17" s="10">
        <f>ROUND(((F15-F14)/F14)*F16+F16,1)</f>
        <v>9.1999999999999993</v>
      </c>
      <c r="G17" s="9">
        <v>180.07</v>
      </c>
      <c r="H17">
        <v>100</v>
      </c>
      <c r="I17">
        <v>39226.550000000003</v>
      </c>
      <c r="J17">
        <v>13.602698155158945</v>
      </c>
      <c r="K17">
        <v>8.6503442237228825</v>
      </c>
      <c r="L17" s="10">
        <v>68.099999999999994</v>
      </c>
      <c r="M17" s="9">
        <f>((M15-M14)/M14)*M16+M16</f>
        <v>57.872477464758049</v>
      </c>
      <c r="N17">
        <v>291071360</v>
      </c>
      <c r="O17">
        <v>9395871</v>
      </c>
      <c r="P17" s="10">
        <v>605.83000000000004</v>
      </c>
      <c r="Q17">
        <v>0.24918389320373499</v>
      </c>
      <c r="R17" s="10">
        <v>0.561897993087769</v>
      </c>
      <c r="S17" s="9">
        <v>1.07936374148797</v>
      </c>
      <c r="T17">
        <v>78.213999999999999</v>
      </c>
      <c r="U17">
        <v>3.93</v>
      </c>
      <c r="V17" s="10">
        <v>10.75</v>
      </c>
    </row>
    <row r="18" spans="1:22" ht="15" thickBot="1" x14ac:dyDescent="0.35">
      <c r="A18" s="1" t="s">
        <v>0</v>
      </c>
      <c r="B18" s="2">
        <v>2023</v>
      </c>
      <c r="C18" s="11">
        <v>1933</v>
      </c>
      <c r="D18" s="12">
        <v>19.16</v>
      </c>
      <c r="E18" s="12">
        <v>0</v>
      </c>
      <c r="F18" s="13">
        <f>ROUND(((F16-F15)/F15)*F17+F17,1)</f>
        <v>9.9</v>
      </c>
      <c r="G18" s="14">
        <f>ROUND(((G17-G16)/G16)*G17+G17,2)</f>
        <v>186.75</v>
      </c>
      <c r="H18" s="12">
        <v>100</v>
      </c>
      <c r="I18" s="12">
        <v>38920.660000000003</v>
      </c>
      <c r="J18" s="12">
        <v>14.063401008005632</v>
      </c>
      <c r="K18" s="12">
        <v>3.6802821856334731</v>
      </c>
      <c r="L18" s="13">
        <v>67.3</v>
      </c>
      <c r="M18" s="14">
        <f>((M16-M15)/M15)*M17+M17</f>
        <v>57.7206359521915</v>
      </c>
      <c r="N18" s="12">
        <f>ROUND(((N17-N16)/N16)*N17+N17,1)</f>
        <v>303816129.80000001</v>
      </c>
      <c r="O18" s="12">
        <f>ROUND(((O17-O16)/O16)*O17+O17,2)</f>
        <v>9606980.0199999996</v>
      </c>
      <c r="P18" s="13">
        <f>ROUND(((P17-P16)/P16)*P17+P17,2)</f>
        <v>604.57000000000005</v>
      </c>
      <c r="Q18" s="12">
        <f>((Q17-Q16)/Q16)*Q17+Q17</f>
        <v>0.4230136282742597</v>
      </c>
      <c r="R18" s="13">
        <f>((R17-R16)/R16)*R17+R17</f>
        <v>0.59239179105074835</v>
      </c>
      <c r="S18" s="14">
        <v>1.08520231604055</v>
      </c>
      <c r="T18" s="12">
        <v>78.715999999999994</v>
      </c>
      <c r="U18" s="12">
        <v>3.855</v>
      </c>
      <c r="V18" s="13">
        <f>ROUND(((V17-V16)/V16)*V17+V17,2)</f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2024-12-08T08:21:36Z</dcterms:created>
  <dcterms:modified xsi:type="dcterms:W3CDTF">2025-05-15T21:35:48Z</dcterms:modified>
</cp:coreProperties>
</file>