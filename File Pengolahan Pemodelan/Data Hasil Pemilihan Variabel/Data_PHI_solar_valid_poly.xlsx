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TIS\6 - TINGKAT IV\SKRIPSI - IYA BISA YUK BISA JAN MALES\Coding\SVR Ulang - Data Valid\"/>
    </mc:Choice>
  </mc:AlternateContent>
  <xr:revisionPtr revIDLastSave="0" documentId="13_ncr:1_{B9F8DB18-C5B5-45D3-99E0-576F181C20D6}" xr6:coauthVersionLast="47" xr6:coauthVersionMax="47" xr10:uidLastSave="{00000000-0000-0000-0000-000000000000}"/>
  <bookViews>
    <workbookView xWindow="4596" yWindow="4596" windowWidth="10116" windowHeight="6000" xr2:uid="{D4042338-21D5-4A0A-BD49-FEBAB410BD3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T18" i="1" l="1"/>
  <c r="Q18" i="1"/>
  <c r="P18" i="1"/>
  <c r="O18" i="1"/>
  <c r="M18" i="1"/>
  <c r="L18" i="1"/>
  <c r="F18" i="1"/>
  <c r="K17" i="1"/>
  <c r="K18" i="1" s="1"/>
  <c r="D17" i="1"/>
  <c r="D18" i="1" s="1"/>
</calcChain>
</file>

<file path=xl/sharedStrings.xml><?xml version="1.0" encoding="utf-8"?>
<sst xmlns="http://schemas.openxmlformats.org/spreadsheetml/2006/main" count="37" uniqueCount="21">
  <si>
    <t>Philippines</t>
  </si>
  <si>
    <t>Country</t>
  </si>
  <si>
    <t>Year</t>
  </si>
  <si>
    <t>Solar</t>
  </si>
  <si>
    <t>RE_Consumption</t>
  </si>
  <si>
    <t>Elec_Demand</t>
  </si>
  <si>
    <t>Elec_Access</t>
  </si>
  <si>
    <t>PKP_EnergyUse</t>
  </si>
  <si>
    <t>FDI</t>
  </si>
  <si>
    <t>Inflation</t>
  </si>
  <si>
    <t>IEF</t>
  </si>
  <si>
    <t>Forest_Area</t>
  </si>
  <si>
    <t>CO2</t>
  </si>
  <si>
    <t>N2O</t>
  </si>
  <si>
    <t>Carbon_Intensity</t>
  </si>
  <si>
    <t>Control_Corruption</t>
  </si>
  <si>
    <t>Gov_Effective</t>
  </si>
  <si>
    <t>Rule_Law</t>
  </si>
  <si>
    <t>Urbanization</t>
  </si>
  <si>
    <t>Unemployment</t>
  </si>
  <si>
    <t>Education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</si>
</sst>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0" fontId="1" fillId="0" borderId="0"/>
  </cellStyleXfs>
  <cellXfs count="15">
    <xf numFmtId="0" fontId="0" fillId="0" borderId="0" xfId="0"/>
    <xf numFmtId="0" fontId="1" fillId="0" borderId="0" xfId="1"/>
    <xf numFmtId="0" fontId="1" fillId="0" borderId="0" xfId="1" applyAlignment="1">
      <alignment horizontal="left" vertical="center"/>
    </xf>
    <xf numFmtId="0" fontId="1" fillId="0" borderId="1" xfId="1" applyBorder="1"/>
    <xf numFmtId="0" fontId="1" fillId="0" borderId="2" xfId="1" applyBorder="1"/>
    <xf numFmtId="0" fontId="0" fillId="0" borderId="1" xfId="0" applyBorder="1"/>
    <xf numFmtId="0" fontId="0" fillId="0" borderId="2" xfId="0" applyBorder="1"/>
    <xf numFmtId="0" fontId="0" fillId="0" borderId="0" xfId="0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1" fillId="0" borderId="6" xfId="1" applyBorder="1"/>
    <xf numFmtId="0" fontId="0" fillId="0" borderId="7" xfId="0" applyBorder="1"/>
    <xf numFmtId="0" fontId="0" fillId="0" borderId="8" xfId="0" applyBorder="1"/>
    <xf numFmtId="0" fontId="0" fillId="0" borderId="6" xfId="0" applyBorder="1"/>
  </cellXfs>
  <cellStyles count="2">
    <cellStyle name="Normal" xfId="0" builtinId="0"/>
    <cellStyle name="Normal 2" xfId="1" xr:uid="{4440D2F2-13CA-451C-A0AD-55650F622CD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DFF3A7-405B-4F3D-A581-14E24764E634}">
  <dimension ref="A1:T18"/>
  <sheetViews>
    <sheetView tabSelected="1" topLeftCell="O1" workbookViewId="0">
      <selection activeCell="U7" sqref="U7"/>
    </sheetView>
  </sheetViews>
  <sheetFormatPr defaultRowHeight="14.4" x14ac:dyDescent="0.3"/>
  <cols>
    <col min="1" max="1" width="9.5546875" bestFit="1" customWidth="1"/>
    <col min="4" max="4" width="15" bestFit="1" customWidth="1"/>
    <col min="5" max="5" width="12.109375" bestFit="1" customWidth="1"/>
    <col min="6" max="6" width="10.77734375" bestFit="1" customWidth="1"/>
    <col min="7" max="7" width="13.6640625" bestFit="1" customWidth="1"/>
    <col min="8" max="9" width="12" bestFit="1" customWidth="1"/>
    <col min="11" max="13" width="12" bestFit="1" customWidth="1"/>
    <col min="14" max="14" width="15" bestFit="1" customWidth="1"/>
    <col min="15" max="15" width="17" bestFit="1" customWidth="1"/>
    <col min="16" max="17" width="12.6640625" bestFit="1" customWidth="1"/>
    <col min="18" max="18" width="11.44140625" bestFit="1" customWidth="1"/>
    <col min="19" max="19" width="13.6640625" bestFit="1" customWidth="1"/>
    <col min="20" max="20" width="9.109375" bestFit="1" customWidth="1"/>
  </cols>
  <sheetData>
    <row r="1" spans="1:20" x14ac:dyDescent="0.3">
      <c r="A1" s="7" t="s">
        <v>1</v>
      </c>
      <c r="B1" s="7" t="s">
        <v>2</v>
      </c>
      <c r="C1" s="8" t="s">
        <v>3</v>
      </c>
      <c r="D1" s="10" t="s">
        <v>4</v>
      </c>
      <c r="E1" s="8" t="s">
        <v>5</v>
      </c>
      <c r="F1" s="9" t="s">
        <v>6</v>
      </c>
      <c r="G1" s="9" t="s">
        <v>7</v>
      </c>
      <c r="H1" s="8" t="s">
        <v>8</v>
      </c>
      <c r="I1" s="9" t="s">
        <v>9</v>
      </c>
      <c r="J1" s="10" t="s">
        <v>10</v>
      </c>
      <c r="K1" s="8" t="s">
        <v>11</v>
      </c>
      <c r="L1" s="9" t="s">
        <v>12</v>
      </c>
      <c r="M1" s="9" t="s">
        <v>13</v>
      </c>
      <c r="N1" s="10" t="s">
        <v>14</v>
      </c>
      <c r="O1" s="9" t="s">
        <v>15</v>
      </c>
      <c r="P1" s="9" t="s">
        <v>16</v>
      </c>
      <c r="Q1" s="10" t="s">
        <v>17</v>
      </c>
      <c r="R1" s="9" t="s">
        <v>18</v>
      </c>
      <c r="S1" s="9" t="s">
        <v>19</v>
      </c>
      <c r="T1" s="10" t="s">
        <v>20</v>
      </c>
    </row>
    <row r="2" spans="1:20" x14ac:dyDescent="0.3">
      <c r="A2" s="1" t="s">
        <v>0</v>
      </c>
      <c r="B2" s="2">
        <v>2007</v>
      </c>
      <c r="C2" s="3">
        <v>1</v>
      </c>
      <c r="D2" s="4">
        <v>32.4</v>
      </c>
      <c r="E2" s="5">
        <v>59.62</v>
      </c>
      <c r="F2">
        <v>82</v>
      </c>
      <c r="G2">
        <v>3537.23</v>
      </c>
      <c r="H2" s="3">
        <v>2918724840.5040698</v>
      </c>
      <c r="I2">
        <v>2.9000000000000301</v>
      </c>
      <c r="J2" s="6">
        <v>56</v>
      </c>
      <c r="K2" s="5">
        <v>23.411416306134086</v>
      </c>
      <c r="L2">
        <v>70795900</v>
      </c>
      <c r="M2">
        <v>11483680</v>
      </c>
      <c r="N2" s="6">
        <v>452.03</v>
      </c>
      <c r="O2">
        <v>-0.77800518274307295</v>
      </c>
      <c r="P2">
        <v>0.106631629168987</v>
      </c>
      <c r="Q2" s="6">
        <v>-0.46309170126915</v>
      </c>
      <c r="R2">
        <v>45.54</v>
      </c>
      <c r="S2">
        <v>3.4340000000000002</v>
      </c>
      <c r="T2" s="6">
        <v>8.69</v>
      </c>
    </row>
    <row r="3" spans="1:20" x14ac:dyDescent="0.3">
      <c r="A3" s="1" t="s">
        <v>0</v>
      </c>
      <c r="B3" s="2">
        <v>2008</v>
      </c>
      <c r="C3" s="3">
        <v>1</v>
      </c>
      <c r="D3" s="4">
        <v>33.9</v>
      </c>
      <c r="E3" s="5">
        <v>60.82</v>
      </c>
      <c r="F3">
        <v>83.3</v>
      </c>
      <c r="G3">
        <v>3589.48</v>
      </c>
      <c r="H3" s="3">
        <v>1340027563.2032599</v>
      </c>
      <c r="I3">
        <v>8.2604470359572506</v>
      </c>
      <c r="J3" s="6">
        <v>56</v>
      </c>
      <c r="K3" s="5">
        <v>23.253942381862696</v>
      </c>
      <c r="L3">
        <v>77330616</v>
      </c>
      <c r="M3">
        <v>10875309</v>
      </c>
      <c r="N3" s="6">
        <v>430.94</v>
      </c>
      <c r="O3">
        <v>-0.77809512615203902</v>
      </c>
      <c r="P3">
        <v>4.7635644674301099E-2</v>
      </c>
      <c r="Q3" s="6">
        <v>-0.55022186040878296</v>
      </c>
      <c r="R3">
        <v>45.454999999999998</v>
      </c>
      <c r="S3">
        <v>3.72</v>
      </c>
      <c r="T3" s="6">
        <v>8.7100000000000009</v>
      </c>
    </row>
    <row r="4" spans="1:20" x14ac:dyDescent="0.3">
      <c r="A4" s="1" t="s">
        <v>0</v>
      </c>
      <c r="B4" s="2">
        <v>2009</v>
      </c>
      <c r="C4" s="3">
        <v>1</v>
      </c>
      <c r="D4" s="4">
        <v>34.1</v>
      </c>
      <c r="E4" s="5">
        <v>61.92</v>
      </c>
      <c r="F4">
        <v>84.3</v>
      </c>
      <c r="G4">
        <v>3565.5</v>
      </c>
      <c r="H4" s="3">
        <v>2064620677.7665701</v>
      </c>
      <c r="I4">
        <v>4.2190305206462799</v>
      </c>
      <c r="J4" s="6">
        <v>56.8</v>
      </c>
      <c r="K4" s="5">
        <v>23.09646845759131</v>
      </c>
      <c r="L4">
        <v>76610150</v>
      </c>
      <c r="M4">
        <v>11114851</v>
      </c>
      <c r="N4" s="6">
        <v>441.21</v>
      </c>
      <c r="O4">
        <v>-0.78673923015594505</v>
      </c>
      <c r="P4">
        <v>2.8276430442929299E-2</v>
      </c>
      <c r="Q4" s="6">
        <v>-0.57499730587005604</v>
      </c>
      <c r="R4">
        <v>45.371000000000002</v>
      </c>
      <c r="S4">
        <v>3.8580000000000001</v>
      </c>
      <c r="T4" s="6">
        <v>8.81</v>
      </c>
    </row>
    <row r="5" spans="1:20" x14ac:dyDescent="0.3">
      <c r="A5" s="1" t="s">
        <v>0</v>
      </c>
      <c r="B5" s="2">
        <v>2010</v>
      </c>
      <c r="C5" s="3">
        <v>1</v>
      </c>
      <c r="D5" s="6">
        <v>32.700000000000003</v>
      </c>
      <c r="E5" s="5">
        <v>67.73</v>
      </c>
      <c r="F5">
        <v>85.5</v>
      </c>
      <c r="G5">
        <v>3603.58</v>
      </c>
      <c r="H5" s="3">
        <v>1070386939.91897</v>
      </c>
      <c r="I5">
        <v>3.7898363479759101</v>
      </c>
      <c r="J5" s="6">
        <v>56.3</v>
      </c>
      <c r="K5" s="5">
        <v>22.938994533319917</v>
      </c>
      <c r="L5">
        <v>83063350</v>
      </c>
      <c r="M5">
        <v>12057899</v>
      </c>
      <c r="N5" s="6">
        <v>504.5</v>
      </c>
      <c r="O5">
        <v>-0.78112399578094505</v>
      </c>
      <c r="P5">
        <v>7.0900924503803295E-2</v>
      </c>
      <c r="Q5" s="6">
        <v>-0.55379360914230302</v>
      </c>
      <c r="R5">
        <v>45.332000000000001</v>
      </c>
      <c r="S5">
        <v>3.605</v>
      </c>
      <c r="T5" s="6">
        <v>8.91</v>
      </c>
    </row>
    <row r="6" spans="1:20" x14ac:dyDescent="0.3">
      <c r="A6" s="1" t="s">
        <v>0</v>
      </c>
      <c r="B6" s="2">
        <v>2011</v>
      </c>
      <c r="C6" s="3">
        <v>1</v>
      </c>
      <c r="D6" s="6">
        <v>33.799999999999997</v>
      </c>
      <c r="E6" s="5">
        <v>69.150000000000006</v>
      </c>
      <c r="F6">
        <v>87.2</v>
      </c>
      <c r="G6">
        <v>3610.59</v>
      </c>
      <c r="H6" s="3">
        <v>2007150725.4000299</v>
      </c>
      <c r="I6">
        <v>4.7184170471842002</v>
      </c>
      <c r="J6" s="6">
        <v>56.2</v>
      </c>
      <c r="K6" s="5">
        <v>23.055994902236979</v>
      </c>
      <c r="L6">
        <v>83908024</v>
      </c>
      <c r="M6">
        <v>11477228</v>
      </c>
      <c r="N6" s="6">
        <v>492.84</v>
      </c>
      <c r="O6">
        <v>-0.68503481149673495</v>
      </c>
      <c r="P6">
        <v>0.18958117067813901</v>
      </c>
      <c r="Q6" s="6">
        <v>-0.506389260292053</v>
      </c>
      <c r="R6">
        <v>45.521999999999998</v>
      </c>
      <c r="S6">
        <v>3.5920000000000001</v>
      </c>
      <c r="T6" s="6">
        <v>8.99</v>
      </c>
    </row>
    <row r="7" spans="1:20" x14ac:dyDescent="0.3">
      <c r="A7" s="1" t="s">
        <v>0</v>
      </c>
      <c r="B7" s="2">
        <v>2012</v>
      </c>
      <c r="C7" s="3">
        <v>1</v>
      </c>
      <c r="D7" s="6">
        <v>34.1</v>
      </c>
      <c r="E7" s="5">
        <v>72.89</v>
      </c>
      <c r="F7">
        <v>87.1</v>
      </c>
      <c r="G7">
        <v>3671.1</v>
      </c>
      <c r="H7" s="3">
        <v>3215415155.4356699</v>
      </c>
      <c r="I7">
        <v>3.02696391124796</v>
      </c>
      <c r="J7" s="6">
        <v>57.1</v>
      </c>
      <c r="K7" s="5">
        <v>23.17299527115404</v>
      </c>
      <c r="L7">
        <v>88628560</v>
      </c>
      <c r="M7">
        <v>11273522</v>
      </c>
      <c r="N7" s="6">
        <v>505.01</v>
      </c>
      <c r="O7">
        <v>-0.57389545440673795</v>
      </c>
      <c r="P7">
        <v>0.20568618178367601</v>
      </c>
      <c r="Q7" s="6">
        <v>-0.52241027355194103</v>
      </c>
      <c r="R7">
        <v>45.712000000000003</v>
      </c>
      <c r="S7">
        <v>3.504</v>
      </c>
      <c r="T7" s="6">
        <v>9.07</v>
      </c>
    </row>
    <row r="8" spans="1:20" x14ac:dyDescent="0.3">
      <c r="A8" s="1" t="s">
        <v>0</v>
      </c>
      <c r="B8" s="2">
        <v>2013</v>
      </c>
      <c r="C8" s="3">
        <v>1</v>
      </c>
      <c r="D8" s="6">
        <v>33.1</v>
      </c>
      <c r="E8" s="5">
        <v>75.23</v>
      </c>
      <c r="F8">
        <v>87.5</v>
      </c>
      <c r="G8">
        <v>3860.98</v>
      </c>
      <c r="H8" s="3">
        <v>3737371739.84519</v>
      </c>
      <c r="I8">
        <v>2.5826876614179501</v>
      </c>
      <c r="J8" s="6">
        <v>58.2</v>
      </c>
      <c r="K8" s="5">
        <v>23.289995640071101</v>
      </c>
      <c r="L8">
        <v>96035850</v>
      </c>
      <c r="M8">
        <v>11728740</v>
      </c>
      <c r="N8" s="6">
        <v>529.84</v>
      </c>
      <c r="O8">
        <v>-0.37990435957908603</v>
      </c>
      <c r="P8">
        <v>0.20597030222415899</v>
      </c>
      <c r="Q8" s="6">
        <v>-0.46873018145561202</v>
      </c>
      <c r="R8">
        <v>45.902999999999999</v>
      </c>
      <c r="S8">
        <v>3.4969999999999999</v>
      </c>
      <c r="T8" s="6">
        <v>9.15</v>
      </c>
    </row>
    <row r="9" spans="1:20" x14ac:dyDescent="0.3">
      <c r="A9" s="1" t="s">
        <v>0</v>
      </c>
      <c r="B9" s="2">
        <v>2014</v>
      </c>
      <c r="C9" s="3">
        <v>28</v>
      </c>
      <c r="D9" s="6">
        <v>32.4</v>
      </c>
      <c r="E9" s="5">
        <v>77.23</v>
      </c>
      <c r="F9">
        <v>89.8</v>
      </c>
      <c r="G9">
        <v>3993.65</v>
      </c>
      <c r="H9" s="3">
        <v>5739574024.1318302</v>
      </c>
      <c r="I9">
        <v>3.5978234386421102</v>
      </c>
      <c r="J9" s="6">
        <v>60.1</v>
      </c>
      <c r="K9" s="5">
        <v>23.406996008988159</v>
      </c>
      <c r="L9">
        <v>101483620</v>
      </c>
      <c r="M9">
        <v>12228388</v>
      </c>
      <c r="N9" s="6">
        <v>536.71</v>
      </c>
      <c r="O9">
        <v>-0.439453065395355</v>
      </c>
      <c r="P9">
        <v>0.318069517612457</v>
      </c>
      <c r="Q9" s="6">
        <v>-0.36928057670593301</v>
      </c>
      <c r="R9">
        <v>46.093000000000004</v>
      </c>
      <c r="S9">
        <v>3.6</v>
      </c>
      <c r="T9" s="6">
        <v>8.9700000000000006</v>
      </c>
    </row>
    <row r="10" spans="1:20" x14ac:dyDescent="0.3">
      <c r="A10" s="1" t="s">
        <v>0</v>
      </c>
      <c r="B10" s="2">
        <v>2015</v>
      </c>
      <c r="C10" s="3">
        <v>172</v>
      </c>
      <c r="D10" s="6">
        <v>30.8</v>
      </c>
      <c r="E10" s="5">
        <v>82.4</v>
      </c>
      <c r="F10">
        <v>89.1</v>
      </c>
      <c r="G10">
        <v>4307.6400000000003</v>
      </c>
      <c r="H10" s="3">
        <v>5639155961.8738899</v>
      </c>
      <c r="I10">
        <v>0.67419253684540803</v>
      </c>
      <c r="J10" s="6">
        <v>62.2</v>
      </c>
      <c r="K10" s="5">
        <v>23.52399637790522</v>
      </c>
      <c r="L10">
        <v>112449144</v>
      </c>
      <c r="M10">
        <v>11990905</v>
      </c>
      <c r="N10" s="6">
        <v>544.66</v>
      </c>
      <c r="O10">
        <v>-0.48059576749801602</v>
      </c>
      <c r="P10">
        <v>0.15983173251152</v>
      </c>
      <c r="Q10" s="6">
        <v>-0.41711878776550299</v>
      </c>
      <c r="R10">
        <v>46.283999999999999</v>
      </c>
      <c r="S10">
        <v>3.0680000000000001</v>
      </c>
      <c r="T10" s="6">
        <v>8.8000000000000007</v>
      </c>
    </row>
    <row r="11" spans="1:20" x14ac:dyDescent="0.3">
      <c r="A11" s="1" t="s">
        <v>0</v>
      </c>
      <c r="B11" s="2">
        <v>2016</v>
      </c>
      <c r="C11" s="3">
        <v>784</v>
      </c>
      <c r="D11" s="6">
        <v>28.6</v>
      </c>
      <c r="E11" s="5">
        <v>90.79</v>
      </c>
      <c r="F11">
        <v>92</v>
      </c>
      <c r="G11">
        <v>4620.87</v>
      </c>
      <c r="H11" s="3">
        <v>8279548274.8850098</v>
      </c>
      <c r="I11">
        <v>1.25369880080982</v>
      </c>
      <c r="J11" s="6">
        <v>63.1</v>
      </c>
      <c r="K11" s="5">
        <v>23.641010161988127</v>
      </c>
      <c r="L11">
        <v>121792456</v>
      </c>
      <c r="M11">
        <v>12678063</v>
      </c>
      <c r="N11" s="6">
        <v>560.08000000000004</v>
      </c>
      <c r="O11">
        <v>-0.51857358217239402</v>
      </c>
      <c r="P11">
        <v>1.8206905573606501E-2</v>
      </c>
      <c r="Q11" s="6">
        <v>-0.43053814768791199</v>
      </c>
      <c r="R11">
        <v>46.475000000000001</v>
      </c>
      <c r="S11">
        <v>2.6949999999999998</v>
      </c>
      <c r="T11" s="6">
        <v>8.6199999999999992</v>
      </c>
    </row>
    <row r="12" spans="1:20" x14ac:dyDescent="0.3">
      <c r="A12" s="1" t="s">
        <v>0</v>
      </c>
      <c r="B12" s="2">
        <v>2017</v>
      </c>
      <c r="C12" s="3">
        <v>908</v>
      </c>
      <c r="D12" s="6">
        <v>27.8</v>
      </c>
      <c r="E12" s="5">
        <v>94.36</v>
      </c>
      <c r="F12">
        <v>93</v>
      </c>
      <c r="G12">
        <v>4982.87</v>
      </c>
      <c r="H12" s="3">
        <v>10256442398.8834</v>
      </c>
      <c r="I12">
        <v>2.85318772590947</v>
      </c>
      <c r="J12" s="6">
        <v>65.599999999999994</v>
      </c>
      <c r="K12" s="5">
        <v>23.758023946071035</v>
      </c>
      <c r="L12">
        <v>135150080</v>
      </c>
      <c r="M12">
        <v>13730619</v>
      </c>
      <c r="N12" s="6">
        <v>560.51</v>
      </c>
      <c r="O12">
        <v>-0.507046699523926</v>
      </c>
      <c r="P12">
        <v>-3.5247687250375699E-2</v>
      </c>
      <c r="Q12" s="6">
        <v>-0.49983957409858698</v>
      </c>
      <c r="R12">
        <v>46.682000000000002</v>
      </c>
      <c r="S12">
        <v>2.552</v>
      </c>
      <c r="T12" s="6">
        <v>8.4499999999999993</v>
      </c>
    </row>
    <row r="13" spans="1:20" x14ac:dyDescent="0.3">
      <c r="A13" s="1" t="s">
        <v>0</v>
      </c>
      <c r="B13" s="2">
        <v>2018</v>
      </c>
      <c r="C13" s="3">
        <v>919</v>
      </c>
      <c r="D13" s="6">
        <v>27.6</v>
      </c>
      <c r="E13" s="5">
        <v>99.74</v>
      </c>
      <c r="F13">
        <v>94.2</v>
      </c>
      <c r="G13">
        <v>5063.13</v>
      </c>
      <c r="H13" s="3">
        <v>9948598823.9686699</v>
      </c>
      <c r="I13">
        <v>5.3093466162770699</v>
      </c>
      <c r="J13" s="6">
        <v>65</v>
      </c>
      <c r="K13" s="5">
        <v>23.875004192239331</v>
      </c>
      <c r="L13">
        <v>141517820</v>
      </c>
      <c r="M13">
        <v>13184663</v>
      </c>
      <c r="N13" s="6">
        <v>572.39</v>
      </c>
      <c r="O13">
        <v>-0.57628536224365201</v>
      </c>
      <c r="P13">
        <v>6.2223520129919101E-2</v>
      </c>
      <c r="Q13" s="6">
        <v>-0.56471127271652199</v>
      </c>
      <c r="R13">
        <v>46.906999999999996</v>
      </c>
      <c r="S13">
        <v>2.3380000000000001</v>
      </c>
      <c r="T13" s="6">
        <v>8.7100000000000009</v>
      </c>
    </row>
    <row r="14" spans="1:20" x14ac:dyDescent="0.3">
      <c r="A14" s="1" t="s">
        <v>0</v>
      </c>
      <c r="B14" s="2">
        <v>2019</v>
      </c>
      <c r="C14" s="3">
        <v>982</v>
      </c>
      <c r="D14" s="6">
        <v>26.9</v>
      </c>
      <c r="E14" s="5">
        <v>106.03</v>
      </c>
      <c r="F14">
        <v>95.3</v>
      </c>
      <c r="G14">
        <v>5128.8</v>
      </c>
      <c r="H14" s="3">
        <v>8671365873.6568909</v>
      </c>
      <c r="I14">
        <v>2.39206534422404</v>
      </c>
      <c r="J14" s="6">
        <v>63.8</v>
      </c>
      <c r="K14" s="5">
        <v>23.992017976322234</v>
      </c>
      <c r="L14">
        <v>144159980</v>
      </c>
      <c r="M14">
        <v>13530990</v>
      </c>
      <c r="N14" s="6">
        <v>592.66</v>
      </c>
      <c r="O14">
        <v>-0.60599905252456698</v>
      </c>
      <c r="P14">
        <v>5.9996031224727603E-2</v>
      </c>
      <c r="Q14" s="6">
        <v>-0.57369107007980302</v>
      </c>
      <c r="R14">
        <v>47.149000000000001</v>
      </c>
      <c r="S14">
        <v>2.2370000000000001</v>
      </c>
      <c r="T14" s="6">
        <v>8.9700000000000006</v>
      </c>
    </row>
    <row r="15" spans="1:20" x14ac:dyDescent="0.3">
      <c r="A15" s="1" t="s">
        <v>0</v>
      </c>
      <c r="B15" s="2">
        <v>2020</v>
      </c>
      <c r="C15" s="3">
        <v>1058</v>
      </c>
      <c r="D15" s="6">
        <v>29.1</v>
      </c>
      <c r="E15" s="5">
        <v>101.75</v>
      </c>
      <c r="F15">
        <v>96.4</v>
      </c>
      <c r="G15">
        <v>4579.2700000000004</v>
      </c>
      <c r="H15" s="3">
        <v>6822133290.81919</v>
      </c>
      <c r="I15">
        <v>2.3931623931624002</v>
      </c>
      <c r="J15" s="6">
        <v>64.5</v>
      </c>
      <c r="K15" s="5">
        <v>24.109031760405138</v>
      </c>
      <c r="L15">
        <v>132851040</v>
      </c>
      <c r="M15">
        <v>13728533</v>
      </c>
      <c r="N15" s="6">
        <v>598.82000000000005</v>
      </c>
      <c r="O15">
        <v>-0.51049673557281505</v>
      </c>
      <c r="P15">
        <v>6.8197175860404996E-2</v>
      </c>
      <c r="Q15" s="6">
        <v>-0.65077292919158902</v>
      </c>
      <c r="R15">
        <v>47.408000000000001</v>
      </c>
      <c r="S15">
        <v>2.5219999999999998</v>
      </c>
      <c r="T15" s="6">
        <v>8.9700000000000006</v>
      </c>
    </row>
    <row r="16" spans="1:20" x14ac:dyDescent="0.3">
      <c r="A16" s="1" t="s">
        <v>0</v>
      </c>
      <c r="B16" s="2">
        <v>2021</v>
      </c>
      <c r="C16" s="3">
        <v>1378</v>
      </c>
      <c r="D16" s="6">
        <v>28</v>
      </c>
      <c r="E16" s="5">
        <v>106.12</v>
      </c>
      <c r="F16">
        <v>97.5</v>
      </c>
      <c r="G16">
        <v>4790.2</v>
      </c>
      <c r="H16" s="3">
        <v>11983363327.4772</v>
      </c>
      <c r="I16">
        <v>3.92718022100332</v>
      </c>
      <c r="J16" s="6">
        <v>64.099999999999994</v>
      </c>
      <c r="K16" s="5">
        <v>24.226045544488045</v>
      </c>
      <c r="L16">
        <v>142753780</v>
      </c>
      <c r="M16">
        <v>13603940</v>
      </c>
      <c r="N16" s="6">
        <v>597.15</v>
      </c>
      <c r="O16">
        <v>-0.52957814931869496</v>
      </c>
      <c r="P16">
        <v>3.56624871492386E-2</v>
      </c>
      <c r="Q16" s="6">
        <v>-0.66689366102218595</v>
      </c>
      <c r="R16">
        <v>47.683999999999997</v>
      </c>
      <c r="S16">
        <v>3.3980000000000001</v>
      </c>
      <c r="T16" s="6">
        <v>8.9700000000000006</v>
      </c>
    </row>
    <row r="17" spans="1:20" x14ac:dyDescent="0.3">
      <c r="A17" s="1" t="s">
        <v>0</v>
      </c>
      <c r="B17" s="2">
        <v>2022</v>
      </c>
      <c r="C17" s="3">
        <v>1625</v>
      </c>
      <c r="D17" s="6">
        <f>ROUND(((D15-D14)/D14)*D16+D16,1)</f>
        <v>30.3</v>
      </c>
      <c r="E17" s="5">
        <v>113.01</v>
      </c>
      <c r="F17">
        <v>94.8</v>
      </c>
      <c r="G17">
        <v>4941.1499999999996</v>
      </c>
      <c r="H17" s="3">
        <v>9492234668.1091003</v>
      </c>
      <c r="I17">
        <v>5.8211581121395497</v>
      </c>
      <c r="J17" s="6">
        <v>61.1</v>
      </c>
      <c r="K17" s="5">
        <f>((K15-K14)/K14)*K16+K16</f>
        <v>24.344200726987616</v>
      </c>
      <c r="L17">
        <v>150395980</v>
      </c>
      <c r="M17">
        <v>14030680</v>
      </c>
      <c r="N17" s="6">
        <v>601.1</v>
      </c>
      <c r="O17">
        <v>-0.54094845056533802</v>
      </c>
      <c r="P17">
        <v>6.4777202904224396E-2</v>
      </c>
      <c r="Q17" s="6">
        <v>-0.51833748817443803</v>
      </c>
      <c r="R17">
        <v>47.976999999999997</v>
      </c>
      <c r="S17">
        <v>2.5979999999999999</v>
      </c>
      <c r="T17" s="6">
        <v>8.9700000000000006</v>
      </c>
    </row>
    <row r="18" spans="1:20" ht="15" thickBot="1" x14ac:dyDescent="0.35">
      <c r="A18" s="1" t="s">
        <v>0</v>
      </c>
      <c r="B18" s="2">
        <v>2023</v>
      </c>
      <c r="C18" s="11">
        <v>1675</v>
      </c>
      <c r="D18" s="13">
        <f>ROUND(((D16-D15)/D15)*D17+D17,1)</f>
        <v>29.2</v>
      </c>
      <c r="E18" s="14">
        <v>118.26</v>
      </c>
      <c r="F18" s="12">
        <f>ROUND(((F17-F16)/F16)*F17+F17,1)</f>
        <v>92.2</v>
      </c>
      <c r="G18" s="12">
        <v>5191.9799999999996</v>
      </c>
      <c r="H18" s="11">
        <v>8863959058.4081402</v>
      </c>
      <c r="I18" s="12">
        <v>5.9780251554140902</v>
      </c>
      <c r="J18" s="13">
        <v>59.3</v>
      </c>
      <c r="K18" s="14">
        <f>((K16-K15)/K15)*K17+K17</f>
        <v>24.46235590948719</v>
      </c>
      <c r="L18" s="12">
        <f>ROUND(((L17-L16)/L16)*L17+L17,1)</f>
        <v>158447298.59999999</v>
      </c>
      <c r="M18" s="12">
        <f>ROUND(((M17-M16)/M16)*M17+M17,2)</f>
        <v>14470806.34</v>
      </c>
      <c r="N18" s="13">
        <v>610.69000000000005</v>
      </c>
      <c r="O18" s="12">
        <f>((O17-O16)/O16)*O17+O17</f>
        <v>-0.55256287772730772</v>
      </c>
      <c r="P18" s="12">
        <f>((P17-P16)/P16)*P17+P17</f>
        <v>0.11766105932363846</v>
      </c>
      <c r="Q18" s="13">
        <f>((Q17-Q16)/Q16)*Q17+Q17</f>
        <v>-0.40287345247092932</v>
      </c>
      <c r="R18" s="12">
        <v>48.286999999999999</v>
      </c>
      <c r="S18" s="12">
        <v>2.2330000000000001</v>
      </c>
      <c r="T18" s="13">
        <f>ROUND(((T17-T16)/T16)*T17+T17,2)</f>
        <v>8.9700000000000006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awinv</dc:creator>
  <cp:lastModifiedBy>awinv</cp:lastModifiedBy>
  <dcterms:created xsi:type="dcterms:W3CDTF">2024-12-08T08:22:23Z</dcterms:created>
  <dcterms:modified xsi:type="dcterms:W3CDTF">2025-05-15T21:39:55Z</dcterms:modified>
</cp:coreProperties>
</file>