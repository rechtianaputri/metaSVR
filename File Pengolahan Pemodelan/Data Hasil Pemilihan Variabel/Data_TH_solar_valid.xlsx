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2 - Data Valid\"/>
    </mc:Choice>
  </mc:AlternateContent>
  <xr:revisionPtr revIDLastSave="0" documentId="13_ncr:1_{5704C81C-6674-421A-AF8B-38F168466E0A}" xr6:coauthVersionLast="47" xr6:coauthVersionMax="47" xr10:uidLastSave="{00000000-0000-0000-0000-000000000000}"/>
  <bookViews>
    <workbookView xWindow="5892" yWindow="0" windowWidth="10116" windowHeight="6000" xr2:uid="{4680424B-A08F-40A4-8D86-815237360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K18" i="1"/>
  <c r="F18" i="1"/>
</calcChain>
</file>

<file path=xl/sharedStrings.xml><?xml version="1.0" encoding="utf-8"?>
<sst xmlns="http://schemas.openxmlformats.org/spreadsheetml/2006/main" count="28" uniqueCount="12">
  <si>
    <t>Country</t>
  </si>
  <si>
    <t>Year</t>
  </si>
  <si>
    <t>Solar</t>
  </si>
  <si>
    <t>Thailand</t>
  </si>
  <si>
    <t>Elec_Demand</t>
  </si>
  <si>
    <t>PKP_EnergyUse</t>
  </si>
  <si>
    <t>CO2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</si>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</sst>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1" xfId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">
    <cellStyle name="Normal" xfId="0" builtinId="0"/>
    <cellStyle name="Normal 2" xfId="1" xr:uid="{1188A137-4BE9-4328-A7F5-702FFAA584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A147-6BC1-4B8B-821C-DD80A982E31D}">
  <dimension ref="A1:K18"/>
  <sheetViews>
    <sheetView tabSelected="1" topLeftCell="D1" workbookViewId="0">
      <selection activeCell="J2" sqref="J2"/>
    </sheetView>
  </sheetViews>
  <sheetFormatPr defaultRowHeight="14.4" x14ac:dyDescent="0.3"/>
  <cols>
    <col min="4" max="4" width="12.109375" bestFit="1" customWidth="1"/>
    <col min="5" max="5" width="13.6640625" bestFit="1" customWidth="1"/>
    <col min="6" max="6" width="12" bestFit="1" customWidth="1"/>
    <col min="7" max="7" width="12.6640625" bestFit="1" customWidth="1"/>
    <col min="8" max="8" width="12" bestFit="1" customWidth="1"/>
    <col min="9" max="9" width="11.44140625" bestFit="1" customWidth="1"/>
    <col min="10" max="10" width="13.6640625" bestFit="1" customWidth="1"/>
    <col min="11" max="11" width="9.109375" bestFit="1" customWidth="1"/>
  </cols>
  <sheetData>
    <row r="1" spans="1:11" x14ac:dyDescent="0.3">
      <c r="A1" s="6" t="s">
        <v>0</v>
      </c>
      <c r="B1" s="6" t="s">
        <v>1</v>
      </c>
      <c r="C1" s="7" t="s">
        <v>2</v>
      </c>
      <c r="D1" s="15" t="s">
        <v>4</v>
      </c>
      <c r="E1" s="14" t="s">
        <v>5</v>
      </c>
      <c r="F1" s="14" t="s">
        <v>6</v>
      </c>
      <c r="G1" s="9" t="s">
        <v>7</v>
      </c>
      <c r="H1" s="7" t="s">
        <v>8</v>
      </c>
      <c r="I1" s="8" t="s">
        <v>9</v>
      </c>
      <c r="J1" s="14" t="s">
        <v>10</v>
      </c>
      <c r="K1" s="9" t="s">
        <v>11</v>
      </c>
    </row>
    <row r="2" spans="1:11" x14ac:dyDescent="0.3">
      <c r="A2" s="1" t="s">
        <v>3</v>
      </c>
      <c r="B2" s="2">
        <v>2007</v>
      </c>
      <c r="C2" s="3">
        <v>32</v>
      </c>
      <c r="D2" s="4">
        <v>146.27000000000001</v>
      </c>
      <c r="E2">
        <v>16141.03</v>
      </c>
      <c r="F2">
        <v>224082600</v>
      </c>
      <c r="G2" s="5">
        <v>-0.13744048774242401</v>
      </c>
      <c r="H2" s="4">
        <v>0.76191607845987797</v>
      </c>
      <c r="I2">
        <v>39.950000000000003</v>
      </c>
      <c r="J2">
        <v>1.18</v>
      </c>
      <c r="K2" s="5">
        <v>7.13</v>
      </c>
    </row>
    <row r="3" spans="1:11" x14ac:dyDescent="0.3">
      <c r="A3" s="1" t="s">
        <v>3</v>
      </c>
      <c r="B3" s="2">
        <v>2008</v>
      </c>
      <c r="C3" s="3">
        <v>32</v>
      </c>
      <c r="D3" s="4">
        <v>147.26</v>
      </c>
      <c r="E3">
        <v>16019.2</v>
      </c>
      <c r="F3">
        <v>224248700</v>
      </c>
      <c r="G3" s="5">
        <v>-0.15974041819572399</v>
      </c>
      <c r="H3" s="4">
        <v>0.74762381126890998</v>
      </c>
      <c r="I3">
        <v>41.241999999999997</v>
      </c>
      <c r="J3">
        <v>1.18</v>
      </c>
      <c r="K3" s="5">
        <v>7.29</v>
      </c>
    </row>
    <row r="4" spans="1:11" x14ac:dyDescent="0.3">
      <c r="A4" s="1" t="s">
        <v>3</v>
      </c>
      <c r="B4" s="2">
        <v>2009</v>
      </c>
      <c r="C4" s="3">
        <v>37</v>
      </c>
      <c r="D4" s="4">
        <v>147.05000000000001</v>
      </c>
      <c r="E4">
        <v>16352.36</v>
      </c>
      <c r="F4">
        <v>228836240</v>
      </c>
      <c r="G4" s="5">
        <v>-0.260052651166916</v>
      </c>
      <c r="H4" s="4">
        <v>0.71838136464921099</v>
      </c>
      <c r="I4">
        <v>42.542999999999999</v>
      </c>
      <c r="J4">
        <v>1.49</v>
      </c>
      <c r="K4" s="5">
        <v>7.45</v>
      </c>
    </row>
    <row r="5" spans="1:11" x14ac:dyDescent="0.3">
      <c r="A5" s="1" t="s">
        <v>3</v>
      </c>
      <c r="B5" s="2">
        <v>2010</v>
      </c>
      <c r="C5" s="3">
        <v>49</v>
      </c>
      <c r="D5" s="4">
        <v>163.51</v>
      </c>
      <c r="E5">
        <v>17276.060000000001</v>
      </c>
      <c r="F5">
        <v>241018980</v>
      </c>
      <c r="G5" s="5">
        <v>-0.23362262547016099</v>
      </c>
      <c r="H5" s="4">
        <v>0.67140330392279801</v>
      </c>
      <c r="I5">
        <v>43.856000000000002</v>
      </c>
      <c r="J5">
        <v>0.622</v>
      </c>
      <c r="K5" s="5">
        <v>7.61</v>
      </c>
    </row>
    <row r="6" spans="1:11" x14ac:dyDescent="0.3">
      <c r="A6" s="1" t="s">
        <v>3</v>
      </c>
      <c r="B6" s="2">
        <v>2011</v>
      </c>
      <c r="C6" s="3">
        <v>79</v>
      </c>
      <c r="D6" s="4">
        <v>162.74</v>
      </c>
      <c r="E6">
        <v>17645.64</v>
      </c>
      <c r="F6">
        <v>244878160</v>
      </c>
      <c r="G6" s="5">
        <v>-0.22975252568721799</v>
      </c>
      <c r="H6" s="4">
        <v>0.64585745072644296</v>
      </c>
      <c r="I6">
        <v>44.698</v>
      </c>
      <c r="J6">
        <v>0.66</v>
      </c>
      <c r="K6" s="5">
        <v>7.71</v>
      </c>
    </row>
    <row r="7" spans="1:11" x14ac:dyDescent="0.3">
      <c r="A7" s="1" t="s">
        <v>3</v>
      </c>
      <c r="B7" s="2">
        <v>2012</v>
      </c>
      <c r="C7" s="3">
        <v>382</v>
      </c>
      <c r="D7" s="4">
        <v>177.58</v>
      </c>
      <c r="E7">
        <v>18694.71</v>
      </c>
      <c r="F7">
        <v>262347660</v>
      </c>
      <c r="G7" s="5">
        <v>-0.17236910760402699</v>
      </c>
      <c r="H7" s="4">
        <v>0.64434461278447097</v>
      </c>
      <c r="I7">
        <v>45.445</v>
      </c>
      <c r="J7">
        <v>0.57999999999999996</v>
      </c>
      <c r="K7" s="5">
        <v>7.81</v>
      </c>
    </row>
    <row r="8" spans="1:11" x14ac:dyDescent="0.3">
      <c r="A8" s="1" t="s">
        <v>3</v>
      </c>
      <c r="B8" s="2">
        <v>2013</v>
      </c>
      <c r="C8" s="3">
        <v>829</v>
      </c>
      <c r="D8" s="4">
        <v>179.93</v>
      </c>
      <c r="E8">
        <v>18868.78</v>
      </c>
      <c r="F8">
        <v>263753500</v>
      </c>
      <c r="G8" s="5">
        <v>-0.139015212655067</v>
      </c>
      <c r="H8" s="4">
        <v>0.60774627656548397</v>
      </c>
      <c r="I8">
        <v>46.192999999999998</v>
      </c>
      <c r="J8">
        <v>0.249</v>
      </c>
      <c r="K8" s="5">
        <v>7.91</v>
      </c>
    </row>
    <row r="9" spans="1:11" x14ac:dyDescent="0.3">
      <c r="A9" s="1" t="s">
        <v>3</v>
      </c>
      <c r="B9" s="2">
        <v>2014</v>
      </c>
      <c r="C9" s="3">
        <v>1304</v>
      </c>
      <c r="D9" s="4">
        <v>183.95</v>
      </c>
      <c r="E9">
        <v>19398.96</v>
      </c>
      <c r="F9">
        <v>272487650</v>
      </c>
      <c r="G9" s="5">
        <v>-0.22025208175182301</v>
      </c>
      <c r="H9" s="4">
        <v>0.548005164899527</v>
      </c>
      <c r="I9">
        <v>46.942999999999998</v>
      </c>
      <c r="J9">
        <v>0.57599999999999996</v>
      </c>
      <c r="K9" s="5">
        <v>8.0399999999999991</v>
      </c>
    </row>
    <row r="10" spans="1:11" x14ac:dyDescent="0.3">
      <c r="A10" s="1" t="s">
        <v>3</v>
      </c>
      <c r="B10" s="2">
        <v>2015</v>
      </c>
      <c r="C10" s="3">
        <v>1425</v>
      </c>
      <c r="D10" s="4">
        <v>189.98</v>
      </c>
      <c r="E10">
        <v>19595.39</v>
      </c>
      <c r="F10">
        <v>277098700</v>
      </c>
      <c r="G10" s="5">
        <v>-0.188147738575935</v>
      </c>
      <c r="H10" s="4">
        <v>0.47549651695853101</v>
      </c>
      <c r="I10">
        <v>47.694000000000003</v>
      </c>
      <c r="J10">
        <v>0.59699999999999998</v>
      </c>
      <c r="K10" s="5">
        <v>8.18</v>
      </c>
    </row>
    <row r="11" spans="1:11" x14ac:dyDescent="0.3">
      <c r="A11" s="1" t="s">
        <v>3</v>
      </c>
      <c r="B11" s="2">
        <v>2016</v>
      </c>
      <c r="C11" s="3">
        <v>2451</v>
      </c>
      <c r="D11" s="4">
        <v>198.21</v>
      </c>
      <c r="E11">
        <v>19906.96</v>
      </c>
      <c r="F11">
        <v>284045300</v>
      </c>
      <c r="G11" s="5">
        <v>-2.8162339702248601E-2</v>
      </c>
      <c r="H11" s="4">
        <v>0.443771939293856</v>
      </c>
      <c r="I11">
        <v>48.448</v>
      </c>
      <c r="J11">
        <v>0.68799999999999994</v>
      </c>
      <c r="K11" s="5">
        <v>8.32</v>
      </c>
    </row>
    <row r="12" spans="1:11" x14ac:dyDescent="0.3">
      <c r="A12" s="1" t="s">
        <v>3</v>
      </c>
      <c r="B12" s="2">
        <v>2017</v>
      </c>
      <c r="C12" s="3">
        <v>2702</v>
      </c>
      <c r="D12" s="4">
        <v>200.05</v>
      </c>
      <c r="E12">
        <v>20207.599999999999</v>
      </c>
      <c r="F12">
        <v>283347620</v>
      </c>
      <c r="G12" s="5">
        <v>1.36582739651203E-2</v>
      </c>
      <c r="H12" s="4">
        <v>0.41152598020106401</v>
      </c>
      <c r="I12">
        <v>49.2</v>
      </c>
      <c r="J12">
        <v>0.83</v>
      </c>
      <c r="K12" s="5">
        <v>8.34</v>
      </c>
    </row>
    <row r="13" spans="1:11" x14ac:dyDescent="0.3">
      <c r="A13" s="1" t="s">
        <v>3</v>
      </c>
      <c r="B13" s="2">
        <v>2018</v>
      </c>
      <c r="C13" s="3">
        <v>2967</v>
      </c>
      <c r="D13" s="4">
        <v>203.34</v>
      </c>
      <c r="E13">
        <v>20784.78</v>
      </c>
      <c r="F13">
        <v>288346340</v>
      </c>
      <c r="G13" s="5">
        <v>-4.0775607340037797E-3</v>
      </c>
      <c r="H13" s="4">
        <v>0.32332135460702899</v>
      </c>
      <c r="I13">
        <v>49.948999999999998</v>
      </c>
      <c r="J13">
        <v>0.76600000000000001</v>
      </c>
      <c r="K13" s="5">
        <v>8.3699999999999992</v>
      </c>
    </row>
    <row r="14" spans="1:11" x14ac:dyDescent="0.3">
      <c r="A14" s="1" t="s">
        <v>3</v>
      </c>
      <c r="B14" s="2">
        <v>2019</v>
      </c>
      <c r="C14" s="3">
        <v>2988</v>
      </c>
      <c r="D14" s="4">
        <v>209.17</v>
      </c>
      <c r="E14">
        <v>20751.53</v>
      </c>
      <c r="F14">
        <v>281870340</v>
      </c>
      <c r="G14" s="5">
        <v>8.8566415011882796E-2</v>
      </c>
      <c r="H14" s="4">
        <v>0.25269123727425102</v>
      </c>
      <c r="I14">
        <v>50.692</v>
      </c>
      <c r="J14">
        <v>0.71599999999999997</v>
      </c>
      <c r="K14" s="5">
        <v>8.6999999999999993</v>
      </c>
    </row>
    <row r="15" spans="1:11" x14ac:dyDescent="0.3">
      <c r="A15" s="1" t="s">
        <v>3</v>
      </c>
      <c r="B15" s="2">
        <v>2020</v>
      </c>
      <c r="C15" s="3">
        <v>2984</v>
      </c>
      <c r="D15" s="4">
        <v>203.41</v>
      </c>
      <c r="E15">
        <v>19247.93</v>
      </c>
      <c r="F15">
        <v>271852000</v>
      </c>
      <c r="G15" s="5">
        <v>0.109724149107933</v>
      </c>
      <c r="H15" s="4">
        <v>0.23518286529113799</v>
      </c>
      <c r="I15">
        <v>51.43</v>
      </c>
      <c r="J15">
        <v>1.099</v>
      </c>
      <c r="K15" s="5">
        <v>8.83</v>
      </c>
    </row>
    <row r="16" spans="1:11" x14ac:dyDescent="0.3">
      <c r="A16" s="1" t="s">
        <v>3</v>
      </c>
      <c r="B16" s="2">
        <v>2021</v>
      </c>
      <c r="C16" s="3">
        <v>3065</v>
      </c>
      <c r="D16" s="4">
        <v>207.75</v>
      </c>
      <c r="E16">
        <v>19368.560000000001</v>
      </c>
      <c r="F16">
        <v>267219020</v>
      </c>
      <c r="G16" s="5">
        <v>9.4890400767326397E-2</v>
      </c>
      <c r="H16" s="4">
        <v>0.175345074912752</v>
      </c>
      <c r="I16">
        <v>52.162999999999997</v>
      </c>
      <c r="J16">
        <v>1.2150000000000001</v>
      </c>
      <c r="K16" s="5">
        <v>8.83</v>
      </c>
    </row>
    <row r="17" spans="1:11" x14ac:dyDescent="0.3">
      <c r="A17" s="1" t="s">
        <v>3</v>
      </c>
      <c r="B17" s="2">
        <v>2022</v>
      </c>
      <c r="C17" s="3">
        <v>3185</v>
      </c>
      <c r="D17" s="4">
        <v>212.55</v>
      </c>
      <c r="E17">
        <v>19357.75</v>
      </c>
      <c r="F17">
        <v>270746370</v>
      </c>
      <c r="G17" s="5">
        <v>6.7307785153389005E-2</v>
      </c>
      <c r="H17" s="4">
        <v>0.133884527761643</v>
      </c>
      <c r="I17">
        <v>52.889000000000003</v>
      </c>
      <c r="J17">
        <v>0.94</v>
      </c>
      <c r="K17" s="5">
        <v>8.83</v>
      </c>
    </row>
    <row r="18" spans="1:11" ht="15" thickBot="1" x14ac:dyDescent="0.35">
      <c r="A18" s="1" t="s">
        <v>3</v>
      </c>
      <c r="B18" s="2">
        <v>2023</v>
      </c>
      <c r="C18" s="10">
        <v>3186</v>
      </c>
      <c r="D18" s="13">
        <v>219.84</v>
      </c>
      <c r="E18" s="11">
        <v>19370.3</v>
      </c>
      <c r="F18" s="11">
        <f>ROUND(((F17-F16)/F16)*F17+F17,1)</f>
        <v>274320281.80000001</v>
      </c>
      <c r="G18" s="12">
        <f>((G17-G16)/G16)*G17+G17</f>
        <v>4.7742847597021687E-2</v>
      </c>
      <c r="H18" s="13">
        <v>0.14529651125027501</v>
      </c>
      <c r="I18" s="11">
        <v>53.607999999999997</v>
      </c>
      <c r="J18" s="11">
        <v>0.91300000000000003</v>
      </c>
      <c r="K18" s="12">
        <f>ROUND(((K17-K16)/K16)*K17+K17,2)</f>
        <v>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2024-12-08T08:23:20Z</dcterms:created>
  <dcterms:modified xsi:type="dcterms:W3CDTF">2025-06-04T04:28:15Z</dcterms:modified>
</cp:coreProperties>
</file>