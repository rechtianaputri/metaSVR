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995C6E58-38B4-4C6D-9584-614652D40FC3}" xr6:coauthVersionLast="47" xr6:coauthVersionMax="47" xr10:uidLastSave="{00000000-0000-0000-0000-000000000000}"/>
  <bookViews>
    <workbookView xWindow="3480" yWindow="3528" windowWidth="10116" windowHeight="6000" xr2:uid="{3644C047-C2EC-48FC-997C-E189B65AB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U18" i="1"/>
  <c r="T18" i="1"/>
  <c r="S18" i="1"/>
  <c r="R18" i="1"/>
  <c r="K18" i="1"/>
  <c r="J18" i="1"/>
  <c r="I18" i="1"/>
  <c r="F18" i="1"/>
  <c r="R17" i="1"/>
  <c r="K17" i="1"/>
  <c r="H17" i="1"/>
  <c r="H18" i="1" s="1"/>
</calcChain>
</file>

<file path=xl/sharedStrings.xml><?xml version="1.0" encoding="utf-8"?>
<sst xmlns="http://schemas.openxmlformats.org/spreadsheetml/2006/main" count="47" uniqueCount="31">
  <si>
    <t>Cambodia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</si>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</sst>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1" fillId="0" borderId="3" xfId="1" applyBorder="1"/>
    <xf numFmtId="1" fontId="1" fillId="0" borderId="4" xfId="1" applyNumberFormat="1" applyBorder="1"/>
    <xf numFmtId="0" fontId="1" fillId="0" borderId="4" xfId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 2" xfId="1" xr:uid="{4DA1E92D-53C7-41A3-80AB-D77290FF72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BDA5-FE6A-45B8-901A-12599D74E1F2}">
  <dimension ref="A1:AD18"/>
  <sheetViews>
    <sheetView tabSelected="1" topLeftCell="Z1" workbookViewId="0">
      <selection activeCell="AF6" sqref="AF6"/>
    </sheetView>
  </sheetViews>
  <sheetFormatPr defaultRowHeight="14.4" x14ac:dyDescent="0.3"/>
  <cols>
    <col min="4" max="4" width="11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3" width="12" bestFit="1" customWidth="1"/>
    <col min="14" max="14" width="12.6640625" bestFit="1" customWidth="1"/>
    <col min="15" max="15" width="12" bestFit="1" customWidth="1"/>
    <col min="16" max="16" width="12.6640625" bestFit="1" customWidth="1"/>
    <col min="18" max="18" width="12" bestFit="1" customWidth="1"/>
    <col min="19" max="20" width="11" bestFit="1" customWidth="1"/>
    <col min="21" max="22" width="15" bestFit="1" customWidth="1"/>
    <col min="23" max="23" width="17" bestFit="1" customWidth="1"/>
    <col min="24" max="24" width="12.6640625" bestFit="1" customWidth="1"/>
    <col min="25" max="25" width="16.6640625" bestFit="1" customWidth="1"/>
    <col min="26" max="26" width="12.6640625" bestFit="1" customWidth="1"/>
    <col min="27" max="27" width="12" bestFit="1" customWidth="1"/>
    <col min="28" max="28" width="11.44140625" bestFit="1" customWidth="1"/>
    <col min="29" max="29" width="13.6640625" bestFit="1" customWidth="1"/>
    <col min="30" max="30" width="9.109375" bestFit="1" customWidth="1"/>
  </cols>
  <sheetData>
    <row r="1" spans="1:30" x14ac:dyDescent="0.3">
      <c r="A1" s="14" t="s">
        <v>1</v>
      </c>
      <c r="B1" s="14" t="s">
        <v>2</v>
      </c>
      <c r="C1" s="15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7" t="s">
        <v>8</v>
      </c>
      <c r="I1" s="15" t="s">
        <v>9</v>
      </c>
      <c r="J1" s="16" t="s">
        <v>10</v>
      </c>
      <c r="K1" s="16" t="s">
        <v>11</v>
      </c>
      <c r="L1" s="16" t="s">
        <v>12</v>
      </c>
      <c r="M1" s="15" t="s">
        <v>13</v>
      </c>
      <c r="N1" s="16" t="s">
        <v>14</v>
      </c>
      <c r="O1" s="16" t="s">
        <v>15</v>
      </c>
      <c r="P1" s="16" t="s">
        <v>16</v>
      </c>
      <c r="Q1" s="17" t="s">
        <v>17</v>
      </c>
      <c r="R1" s="15" t="s">
        <v>18</v>
      </c>
      <c r="S1" s="16" t="s">
        <v>19</v>
      </c>
      <c r="T1" s="16" t="s">
        <v>20</v>
      </c>
      <c r="U1" s="17" t="s">
        <v>21</v>
      </c>
      <c r="V1" s="15" t="s">
        <v>22</v>
      </c>
      <c r="W1" s="16" t="s">
        <v>23</v>
      </c>
      <c r="X1" s="16" t="s">
        <v>24</v>
      </c>
      <c r="Y1" s="16" t="s">
        <v>25</v>
      </c>
      <c r="Z1" s="17" t="s">
        <v>26</v>
      </c>
      <c r="AA1" s="15" t="s">
        <v>27</v>
      </c>
      <c r="AB1" s="16" t="s">
        <v>28</v>
      </c>
      <c r="AC1" s="16" t="s">
        <v>29</v>
      </c>
      <c r="AD1" s="17" t="s">
        <v>30</v>
      </c>
    </row>
    <row r="2" spans="1:30" x14ac:dyDescent="0.3">
      <c r="A2" s="1" t="s">
        <v>0</v>
      </c>
      <c r="B2" s="2">
        <v>2007</v>
      </c>
      <c r="C2" s="4">
        <v>2</v>
      </c>
      <c r="D2" s="3">
        <v>13</v>
      </c>
      <c r="E2" s="1">
        <v>5</v>
      </c>
      <c r="F2">
        <v>4.7</v>
      </c>
      <c r="G2">
        <v>5.26</v>
      </c>
      <c r="H2" s="5">
        <v>74.8</v>
      </c>
      <c r="I2" s="6">
        <v>1.59</v>
      </c>
      <c r="J2">
        <v>20.2</v>
      </c>
      <c r="K2">
        <v>1116.1500000000001</v>
      </c>
      <c r="L2">
        <v>9.7322011757021549</v>
      </c>
      <c r="M2" s="4">
        <v>867288538.643543</v>
      </c>
      <c r="N2">
        <v>10.212573914439176</v>
      </c>
      <c r="O2">
        <v>629.92107663840955</v>
      </c>
      <c r="P2">
        <v>8.7088277056804895</v>
      </c>
      <c r="Q2" s="7">
        <v>55.9</v>
      </c>
      <c r="R2" s="6">
        <v>60.314757534556996</v>
      </c>
      <c r="S2">
        <v>3471142</v>
      </c>
      <c r="T2">
        <v>3862350.8</v>
      </c>
      <c r="U2" s="7">
        <v>624.16</v>
      </c>
      <c r="V2" s="6">
        <v>-0.36360630393028298</v>
      </c>
      <c r="W2">
        <v>-1.15168952941895</v>
      </c>
      <c r="X2">
        <v>-0.91237217187881503</v>
      </c>
      <c r="Y2">
        <v>-0.49360743165016202</v>
      </c>
      <c r="Z2" s="7">
        <v>-1.14518678188324</v>
      </c>
      <c r="AA2" s="6">
        <v>1.74325561857738</v>
      </c>
      <c r="AB2">
        <v>19.413</v>
      </c>
      <c r="AC2">
        <v>1.2569999999999999</v>
      </c>
      <c r="AD2" s="7">
        <v>3.93</v>
      </c>
    </row>
    <row r="3" spans="1:30" x14ac:dyDescent="0.3">
      <c r="A3" s="1" t="s">
        <v>0</v>
      </c>
      <c r="B3" s="2">
        <v>2008</v>
      </c>
      <c r="C3" s="4">
        <v>2</v>
      </c>
      <c r="D3" s="3">
        <v>13</v>
      </c>
      <c r="E3" s="1">
        <v>5</v>
      </c>
      <c r="F3">
        <v>4.05</v>
      </c>
      <c r="G3">
        <v>5</v>
      </c>
      <c r="H3" s="5">
        <v>74.099999999999994</v>
      </c>
      <c r="I3" s="6">
        <v>1.76</v>
      </c>
      <c r="J3">
        <v>26.4</v>
      </c>
      <c r="K3">
        <v>1152.2</v>
      </c>
      <c r="L3">
        <v>9.2097075295581821</v>
      </c>
      <c r="M3" s="4">
        <v>815180217.95837605</v>
      </c>
      <c r="N3">
        <v>6.6915774761994555</v>
      </c>
      <c r="O3">
        <v>742.39797232191722</v>
      </c>
      <c r="P3">
        <v>24.096851930604998</v>
      </c>
      <c r="Q3" s="7">
        <v>55.9</v>
      </c>
      <c r="R3" s="6">
        <v>60.206118286879672</v>
      </c>
      <c r="S3">
        <v>3866716</v>
      </c>
      <c r="T3">
        <v>3870639.5</v>
      </c>
      <c r="U3" s="7">
        <v>628.38</v>
      </c>
      <c r="V3" s="6">
        <v>-0.298690915107727</v>
      </c>
      <c r="W3">
        <v>-1.24171054363251</v>
      </c>
      <c r="X3">
        <v>-1.00112020969391</v>
      </c>
      <c r="Y3">
        <v>-0.46172830462455799</v>
      </c>
      <c r="Z3" s="7">
        <v>-1.1556795835495</v>
      </c>
      <c r="AA3" s="6">
        <v>1.65663905731394</v>
      </c>
      <c r="AB3">
        <v>19.571000000000002</v>
      </c>
      <c r="AC3">
        <v>0.82499999999999996</v>
      </c>
      <c r="AD3" s="7">
        <v>4.03</v>
      </c>
    </row>
    <row r="4" spans="1:30" x14ac:dyDescent="0.3">
      <c r="A4" s="1" t="s">
        <v>0</v>
      </c>
      <c r="B4" s="2">
        <v>2009</v>
      </c>
      <c r="C4" s="4">
        <v>2</v>
      </c>
      <c r="D4" s="3">
        <v>13</v>
      </c>
      <c r="E4" s="1">
        <v>6</v>
      </c>
      <c r="F4">
        <v>4.76</v>
      </c>
      <c r="G4">
        <v>4.76</v>
      </c>
      <c r="H4" s="5">
        <v>68</v>
      </c>
      <c r="I4" s="6">
        <v>1.99</v>
      </c>
      <c r="J4">
        <v>25.6</v>
      </c>
      <c r="K4">
        <v>1399.93</v>
      </c>
      <c r="L4">
        <v>6.3572149344096873</v>
      </c>
      <c r="M4" s="4">
        <v>928393617.34889698</v>
      </c>
      <c r="N4">
        <v>8.669695926938914E-2</v>
      </c>
      <c r="O4">
        <v>734.81511865210257</v>
      </c>
      <c r="P4">
        <v>-1.24171754189637</v>
      </c>
      <c r="Q4" s="7">
        <v>55.6</v>
      </c>
      <c r="R4" s="6">
        <v>60.097479039202362</v>
      </c>
      <c r="S4">
        <v>4557086</v>
      </c>
      <c r="T4">
        <v>4126155</v>
      </c>
      <c r="U4" s="7">
        <v>634.91999999999996</v>
      </c>
      <c r="V4" s="6">
        <v>-0.56037384271621704</v>
      </c>
      <c r="W4">
        <v>-1.18124008178711</v>
      </c>
      <c r="X4">
        <v>-0.96024048328399703</v>
      </c>
      <c r="Y4">
        <v>-0.49573001265525801</v>
      </c>
      <c r="Z4" s="7">
        <v>-1.12396168708801</v>
      </c>
      <c r="AA4" s="6">
        <v>1.5078919487323601</v>
      </c>
      <c r="AB4">
        <v>19.93</v>
      </c>
      <c r="AC4">
        <v>0.57899999999999996</v>
      </c>
      <c r="AD4" s="7">
        <v>3.94</v>
      </c>
    </row>
    <row r="5" spans="1:30" x14ac:dyDescent="0.3">
      <c r="A5" s="1" t="s">
        <v>0</v>
      </c>
      <c r="B5" s="2">
        <v>2010</v>
      </c>
      <c r="C5" s="4">
        <v>2</v>
      </c>
      <c r="D5" s="3">
        <v>13</v>
      </c>
      <c r="E5" s="1">
        <v>6</v>
      </c>
      <c r="F5">
        <v>4.9000000000000004</v>
      </c>
      <c r="G5">
        <v>0</v>
      </c>
      <c r="H5" s="7">
        <v>64.8</v>
      </c>
      <c r="I5" s="6">
        <v>2.56</v>
      </c>
      <c r="J5">
        <v>31.1</v>
      </c>
      <c r="K5">
        <v>1591.32</v>
      </c>
      <c r="L5">
        <v>4.4181977252843394</v>
      </c>
      <c r="M5" s="4">
        <v>1404315448.8852999</v>
      </c>
      <c r="N5">
        <v>5.9630785728641627</v>
      </c>
      <c r="O5">
        <v>782.69573859556363</v>
      </c>
      <c r="P5">
        <v>3.9963952810721799</v>
      </c>
      <c r="Q5" s="7">
        <v>56.6</v>
      </c>
      <c r="R5" s="6">
        <v>59.988839791525038</v>
      </c>
      <c r="S5">
        <v>5078142</v>
      </c>
      <c r="T5">
        <v>4073233.2</v>
      </c>
      <c r="U5" s="7">
        <v>633.66</v>
      </c>
      <c r="V5" s="6">
        <v>-0.50098443031311002</v>
      </c>
      <c r="W5">
        <v>-1.24900782108307</v>
      </c>
      <c r="X5">
        <v>-0.96263325214385997</v>
      </c>
      <c r="Y5">
        <v>-0.49104791879653897</v>
      </c>
      <c r="Z5" s="7">
        <v>-1.12309193611145</v>
      </c>
      <c r="AA5" s="6">
        <v>1.45722988351436</v>
      </c>
      <c r="AB5">
        <v>20.294</v>
      </c>
      <c r="AC5">
        <v>0.77100000000000002</v>
      </c>
      <c r="AD5" s="7">
        <v>3.87</v>
      </c>
    </row>
    <row r="6" spans="1:30" x14ac:dyDescent="0.3">
      <c r="A6" s="1" t="s">
        <v>0</v>
      </c>
      <c r="B6" s="2">
        <v>2011</v>
      </c>
      <c r="C6" s="4">
        <v>4</v>
      </c>
      <c r="D6" s="3">
        <v>207</v>
      </c>
      <c r="E6" s="1">
        <v>7</v>
      </c>
      <c r="F6">
        <v>6.6</v>
      </c>
      <c r="G6">
        <v>890.91</v>
      </c>
      <c r="H6" s="7">
        <v>64</v>
      </c>
      <c r="I6" s="6">
        <v>2.89</v>
      </c>
      <c r="J6">
        <v>37.4</v>
      </c>
      <c r="K6">
        <v>1623.92</v>
      </c>
      <c r="L6">
        <v>4.4782425010561893</v>
      </c>
      <c r="M6" s="4">
        <v>1538883424.9002099</v>
      </c>
      <c r="N6">
        <v>7.0695699462904713</v>
      </c>
      <c r="O6">
        <v>880.3103044289129</v>
      </c>
      <c r="P6">
        <v>5.4784474961744998</v>
      </c>
      <c r="Q6" s="7">
        <v>57.9</v>
      </c>
      <c r="R6" s="6">
        <v>58.014661228189432</v>
      </c>
      <c r="S6">
        <v>5274698</v>
      </c>
      <c r="T6">
        <v>4228440</v>
      </c>
      <c r="U6" s="7">
        <v>622.64</v>
      </c>
      <c r="V6" s="6">
        <v>-0.304419666528702</v>
      </c>
      <c r="W6">
        <v>-1.25564956665039</v>
      </c>
      <c r="X6">
        <v>-0.87248814105987504</v>
      </c>
      <c r="Y6">
        <v>-0.59184217453002896</v>
      </c>
      <c r="Z6" s="7">
        <v>-1.05048811435699</v>
      </c>
      <c r="AA6" s="6">
        <v>1.4538734073168</v>
      </c>
      <c r="AB6">
        <v>20.663</v>
      </c>
      <c r="AC6">
        <v>0.57699999999999996</v>
      </c>
      <c r="AD6" s="7">
        <v>3.8</v>
      </c>
    </row>
    <row r="7" spans="1:30" x14ac:dyDescent="0.3">
      <c r="A7" s="1" t="s">
        <v>0</v>
      </c>
      <c r="B7" s="2">
        <v>2012</v>
      </c>
      <c r="C7" s="4">
        <v>5</v>
      </c>
      <c r="D7" s="3">
        <v>225</v>
      </c>
      <c r="E7" s="1">
        <v>34</v>
      </c>
      <c r="F7">
        <v>36.99</v>
      </c>
      <c r="G7">
        <v>21.1</v>
      </c>
      <c r="H7" s="7">
        <v>64.400000000000006</v>
      </c>
      <c r="I7" s="6">
        <v>3.57</v>
      </c>
      <c r="J7">
        <v>42.3</v>
      </c>
      <c r="K7">
        <v>1783.72</v>
      </c>
      <c r="L7">
        <v>5.5365946150929082</v>
      </c>
      <c r="M7" s="4">
        <v>1988102944.6449499</v>
      </c>
      <c r="N7">
        <v>7.3133455056521939</v>
      </c>
      <c r="O7">
        <v>950.4825446138351</v>
      </c>
      <c r="P7">
        <v>2.9343160929395098</v>
      </c>
      <c r="Q7" s="7">
        <v>57.6</v>
      </c>
      <c r="R7" s="6">
        <v>56.04048266485384</v>
      </c>
      <c r="S7">
        <v>5576016</v>
      </c>
      <c r="T7">
        <v>4067246.8</v>
      </c>
      <c r="U7" s="7">
        <v>424.66</v>
      </c>
      <c r="V7" s="6">
        <v>-0.10357720404863401</v>
      </c>
      <c r="W7">
        <v>-1.0806815624237101</v>
      </c>
      <c r="X7">
        <v>-0.82180815935134899</v>
      </c>
      <c r="Y7">
        <v>-0.35514336824417098</v>
      </c>
      <c r="Z7" s="7">
        <v>-0.98134618997573897</v>
      </c>
      <c r="AA7" s="6">
        <v>1.44928419333369</v>
      </c>
      <c r="AB7">
        <v>21.036999999999999</v>
      </c>
      <c r="AC7">
        <v>0.496</v>
      </c>
      <c r="AD7" s="7">
        <v>3.73</v>
      </c>
    </row>
    <row r="8" spans="1:30" x14ac:dyDescent="0.3">
      <c r="A8" s="1" t="s">
        <v>0</v>
      </c>
      <c r="B8" s="2">
        <v>2013</v>
      </c>
      <c r="C8" s="4">
        <v>6</v>
      </c>
      <c r="D8" s="3">
        <v>683</v>
      </c>
      <c r="E8" s="1">
        <v>26</v>
      </c>
      <c r="F8">
        <v>56.91</v>
      </c>
      <c r="G8">
        <v>170.83</v>
      </c>
      <c r="H8" s="7">
        <v>65</v>
      </c>
      <c r="I8" s="6">
        <v>4.09</v>
      </c>
      <c r="J8">
        <v>50.9</v>
      </c>
      <c r="K8">
        <v>1866.12</v>
      </c>
      <c r="L8">
        <v>6.4665952125759212</v>
      </c>
      <c r="M8" s="4">
        <v>2068470774.0046799</v>
      </c>
      <c r="N8">
        <v>7.3566651486145247</v>
      </c>
      <c r="O8">
        <v>1015.2208813426751</v>
      </c>
      <c r="P8">
        <v>2.9416250954734902</v>
      </c>
      <c r="Q8" s="7">
        <v>58.5</v>
      </c>
      <c r="R8" s="6">
        <v>54.066304101518234</v>
      </c>
      <c r="S8">
        <v>5636730</v>
      </c>
      <c r="T8">
        <v>4042536.2</v>
      </c>
      <c r="U8" s="7">
        <v>314.92</v>
      </c>
      <c r="V8" s="6">
        <v>-0.13643614947795901</v>
      </c>
      <c r="W8">
        <v>-1.0637218952178999</v>
      </c>
      <c r="X8">
        <v>-0.91253757476806596</v>
      </c>
      <c r="Y8">
        <v>-0.352435141801834</v>
      </c>
      <c r="Z8" s="7">
        <v>-1.00744593143463</v>
      </c>
      <c r="AA8" s="6">
        <v>1.4304997159644699</v>
      </c>
      <c r="AB8">
        <v>21.414999999999999</v>
      </c>
      <c r="AC8">
        <v>0.438</v>
      </c>
      <c r="AD8" s="7">
        <v>3.67</v>
      </c>
    </row>
    <row r="9" spans="1:30" x14ac:dyDescent="0.3">
      <c r="A9" s="1" t="s">
        <v>0</v>
      </c>
      <c r="B9" s="2">
        <v>2014</v>
      </c>
      <c r="C9" s="4">
        <v>9</v>
      </c>
      <c r="D9" s="3">
        <v>929</v>
      </c>
      <c r="E9" s="1">
        <v>36</v>
      </c>
      <c r="F9">
        <v>59.81</v>
      </c>
      <c r="G9">
        <v>36.36</v>
      </c>
      <c r="H9" s="7">
        <v>63.7</v>
      </c>
      <c r="I9" s="6">
        <v>4.91</v>
      </c>
      <c r="J9">
        <v>56.1</v>
      </c>
      <c r="K9">
        <v>2031.75</v>
      </c>
      <c r="L9">
        <v>10.064724919093852</v>
      </c>
      <c r="M9" s="4">
        <v>1853471158.09921</v>
      </c>
      <c r="N9">
        <v>7.1425711002477641</v>
      </c>
      <c r="O9">
        <v>1098.074537505312</v>
      </c>
      <c r="P9">
        <v>3.8556886142420699</v>
      </c>
      <c r="Q9" s="7">
        <v>57.4</v>
      </c>
      <c r="R9" s="6">
        <v>52.092125538182643</v>
      </c>
      <c r="S9">
        <v>6834254</v>
      </c>
      <c r="T9">
        <v>4067732.5</v>
      </c>
      <c r="U9" s="7">
        <v>337.62</v>
      </c>
      <c r="V9" s="6">
        <v>2.3174801841378202E-2</v>
      </c>
      <c r="W9">
        <v>-1.14674997329712</v>
      </c>
      <c r="X9">
        <v>-0.69820541143417403</v>
      </c>
      <c r="Y9">
        <v>-0.43988081812858598</v>
      </c>
      <c r="Z9" s="7">
        <v>-0.954109787940979</v>
      </c>
      <c r="AA9" s="6">
        <v>1.3977751944462999</v>
      </c>
      <c r="AB9">
        <v>21.798999999999999</v>
      </c>
      <c r="AC9">
        <v>0.69199999999999995</v>
      </c>
      <c r="AD9" s="7">
        <v>3.6</v>
      </c>
    </row>
    <row r="10" spans="1:30" x14ac:dyDescent="0.3">
      <c r="A10" s="1" t="s">
        <v>0</v>
      </c>
      <c r="B10" s="2">
        <v>2015</v>
      </c>
      <c r="C10" s="4">
        <v>12</v>
      </c>
      <c r="D10" s="3">
        <v>930</v>
      </c>
      <c r="E10" s="1">
        <v>34</v>
      </c>
      <c r="F10">
        <v>44.54</v>
      </c>
      <c r="G10">
        <v>0.21</v>
      </c>
      <c r="H10" s="7">
        <v>60.6</v>
      </c>
      <c r="I10" s="6">
        <v>6.13</v>
      </c>
      <c r="J10">
        <v>62.7</v>
      </c>
      <c r="K10">
        <v>2299.25</v>
      </c>
      <c r="L10">
        <v>12.919605077574047</v>
      </c>
      <c r="M10" s="4">
        <v>1822804151.2571199</v>
      </c>
      <c r="N10">
        <v>6.9657978165098058</v>
      </c>
      <c r="O10">
        <v>1170.742815786431</v>
      </c>
      <c r="P10">
        <v>1.22393195511119</v>
      </c>
      <c r="Q10" s="7">
        <v>57.5</v>
      </c>
      <c r="R10" s="6">
        <v>50.117946974847037</v>
      </c>
      <c r="S10">
        <v>8365610</v>
      </c>
      <c r="T10">
        <v>4327096</v>
      </c>
      <c r="U10" s="7">
        <v>480.35</v>
      </c>
      <c r="V10" s="6">
        <v>6.3348144292831393E-2</v>
      </c>
      <c r="W10">
        <v>-1.1531237363815301</v>
      </c>
      <c r="X10">
        <v>-0.74395173788070701</v>
      </c>
      <c r="Y10">
        <v>-0.54987478256225597</v>
      </c>
      <c r="Z10" s="7">
        <v>-0.99644917249679599</v>
      </c>
      <c r="AA10" s="6">
        <v>1.34979002036239</v>
      </c>
      <c r="AB10">
        <v>22.187999999999999</v>
      </c>
      <c r="AC10">
        <v>0.39300000000000002</v>
      </c>
      <c r="AD10" s="7">
        <v>3.67</v>
      </c>
    </row>
    <row r="11" spans="1:30" x14ac:dyDescent="0.3">
      <c r="A11" s="1" t="s">
        <v>0</v>
      </c>
      <c r="B11" s="2">
        <v>2016</v>
      </c>
      <c r="C11" s="4">
        <v>18</v>
      </c>
      <c r="D11" s="3">
        <v>930</v>
      </c>
      <c r="E11" s="1">
        <v>32</v>
      </c>
      <c r="F11">
        <v>46.42</v>
      </c>
      <c r="G11">
        <v>0.41</v>
      </c>
      <c r="H11" s="7">
        <v>58</v>
      </c>
      <c r="I11" s="6">
        <v>7.31</v>
      </c>
      <c r="J11">
        <v>68.8</v>
      </c>
      <c r="K11">
        <v>2828.74</v>
      </c>
      <c r="L11">
        <v>12.963800904977377</v>
      </c>
      <c r="M11" s="4">
        <v>2475915853.65763</v>
      </c>
      <c r="N11">
        <v>6.9333139716255943</v>
      </c>
      <c r="O11">
        <v>1281.1059710541231</v>
      </c>
      <c r="P11">
        <v>3.0191397513912799</v>
      </c>
      <c r="Q11" s="7">
        <v>57.9</v>
      </c>
      <c r="R11" s="6">
        <v>49.235950600498526</v>
      </c>
      <c r="S11">
        <v>10921712</v>
      </c>
      <c r="T11">
        <v>4106219.2</v>
      </c>
      <c r="U11" s="7">
        <v>460.73</v>
      </c>
      <c r="V11" s="6">
        <v>0.20619080960750599</v>
      </c>
      <c r="W11">
        <v>-1.30133092403412</v>
      </c>
      <c r="X11">
        <v>-0.74382674694061302</v>
      </c>
      <c r="Y11">
        <v>-0.49356111884117099</v>
      </c>
      <c r="Z11" s="7">
        <v>-1.0809787511825599</v>
      </c>
      <c r="AA11" s="6">
        <v>1.3340851574388699</v>
      </c>
      <c r="AB11">
        <v>22.582000000000001</v>
      </c>
      <c r="AC11">
        <v>0.71599999999999997</v>
      </c>
      <c r="AD11" s="7">
        <v>3.96</v>
      </c>
    </row>
    <row r="12" spans="1:30" x14ac:dyDescent="0.3">
      <c r="A12" s="1" t="s">
        <v>0</v>
      </c>
      <c r="B12" s="2">
        <v>2017</v>
      </c>
      <c r="C12" s="4">
        <v>32</v>
      </c>
      <c r="D12" s="3">
        <v>980</v>
      </c>
      <c r="E12" s="1">
        <v>52</v>
      </c>
      <c r="F12">
        <v>40.729999999999997</v>
      </c>
      <c r="G12">
        <v>8.4600000000000009</v>
      </c>
      <c r="H12" s="7">
        <v>56.3</v>
      </c>
      <c r="I12" s="6">
        <v>8.2899999999999991</v>
      </c>
      <c r="J12">
        <v>89.1</v>
      </c>
      <c r="K12">
        <v>2950.3</v>
      </c>
      <c r="L12">
        <v>14.668094218415417</v>
      </c>
      <c r="M12" s="4">
        <v>2788084321.6581602</v>
      </c>
      <c r="N12">
        <v>6.9969036995899785</v>
      </c>
      <c r="O12">
        <v>1400.899265229873</v>
      </c>
      <c r="P12">
        <v>2.91263557371478</v>
      </c>
      <c r="Q12" s="7">
        <v>59.5</v>
      </c>
      <c r="R12" s="6">
        <v>48.353954226150009</v>
      </c>
      <c r="S12">
        <v>12475530</v>
      </c>
      <c r="T12">
        <v>4658674</v>
      </c>
      <c r="U12" s="7">
        <v>512.41</v>
      </c>
      <c r="V12" s="6">
        <v>9.3508988618850694E-2</v>
      </c>
      <c r="W12">
        <v>-1.31736183166504</v>
      </c>
      <c r="X12">
        <v>-0.69642329216003396</v>
      </c>
      <c r="Y12">
        <v>-0.52138620615005504</v>
      </c>
      <c r="Z12" s="7">
        <v>-1.07539474964142</v>
      </c>
      <c r="AA12" s="6">
        <v>1.3104826630319</v>
      </c>
      <c r="AB12">
        <v>22.98</v>
      </c>
      <c r="AC12">
        <v>0.14099999999999999</v>
      </c>
      <c r="AD12" s="7">
        <v>4.24</v>
      </c>
    </row>
    <row r="13" spans="1:30" x14ac:dyDescent="0.3">
      <c r="A13" s="1" t="s">
        <v>0</v>
      </c>
      <c r="B13" s="2">
        <v>2018</v>
      </c>
      <c r="C13" s="4">
        <v>42</v>
      </c>
      <c r="D13" s="3">
        <v>1330</v>
      </c>
      <c r="E13" s="1">
        <v>53</v>
      </c>
      <c r="F13">
        <v>57.97</v>
      </c>
      <c r="G13">
        <v>33.93</v>
      </c>
      <c r="H13" s="7">
        <v>58.1</v>
      </c>
      <c r="I13" s="6">
        <v>9.85</v>
      </c>
      <c r="J13">
        <v>80.7</v>
      </c>
      <c r="K13">
        <v>3674.93</v>
      </c>
      <c r="L13">
        <v>14.060112073357105</v>
      </c>
      <c r="M13" s="4">
        <v>3212633447.0447001</v>
      </c>
      <c r="N13">
        <v>7.4691692080309338</v>
      </c>
      <c r="O13">
        <v>1533.3159846607873</v>
      </c>
      <c r="P13">
        <v>2.45908515380146</v>
      </c>
      <c r="Q13" s="7">
        <v>58.7</v>
      </c>
      <c r="R13" s="6">
        <v>47.471957851801491</v>
      </c>
      <c r="S13">
        <v>13933845</v>
      </c>
      <c r="T13">
        <v>4812276.5</v>
      </c>
      <c r="U13" s="7">
        <v>371.98</v>
      </c>
      <c r="V13" s="6">
        <v>0.11081126332283001</v>
      </c>
      <c r="W13">
        <v>-1.35679519176483</v>
      </c>
      <c r="X13">
        <v>-0.60018050670623802</v>
      </c>
      <c r="Y13">
        <v>-0.53690451383590698</v>
      </c>
      <c r="Z13" s="7">
        <v>-1.1345753669738801</v>
      </c>
      <c r="AA13" s="6">
        <v>1.2214456592159699</v>
      </c>
      <c r="AB13">
        <v>23.388000000000002</v>
      </c>
      <c r="AC13">
        <v>0.13</v>
      </c>
      <c r="AD13" s="7">
        <v>4.5199999999999996</v>
      </c>
    </row>
    <row r="14" spans="1:30" x14ac:dyDescent="0.3">
      <c r="A14" s="1" t="s">
        <v>0</v>
      </c>
      <c r="B14" s="2">
        <v>2019</v>
      </c>
      <c r="C14" s="4">
        <v>137</v>
      </c>
      <c r="D14" s="3">
        <v>1330</v>
      </c>
      <c r="E14" s="1">
        <v>53</v>
      </c>
      <c r="F14">
        <v>48.13</v>
      </c>
      <c r="G14">
        <v>6.67</v>
      </c>
      <c r="H14" s="7">
        <v>53</v>
      </c>
      <c r="I14" s="6">
        <v>11.89</v>
      </c>
      <c r="J14">
        <v>84</v>
      </c>
      <c r="K14">
        <v>4069.46</v>
      </c>
      <c r="L14">
        <v>13.386901152213465</v>
      </c>
      <c r="M14" s="4">
        <v>3663032999.47048</v>
      </c>
      <c r="N14">
        <v>7.0541069315204226</v>
      </c>
      <c r="O14">
        <v>1671.3854000919046</v>
      </c>
      <c r="P14">
        <v>1.94257500833107</v>
      </c>
      <c r="Q14" s="7">
        <v>57.8</v>
      </c>
      <c r="R14" s="6">
        <v>46.589961477452988</v>
      </c>
      <c r="S14">
        <v>18219576</v>
      </c>
      <c r="T14">
        <v>4656462.5</v>
      </c>
      <c r="U14" s="7">
        <v>447.34</v>
      </c>
      <c r="V14" s="6">
        <v>-7.5531385838985401E-2</v>
      </c>
      <c r="W14">
        <v>-1.32316565513611</v>
      </c>
      <c r="X14">
        <v>-0.62360608577728305</v>
      </c>
      <c r="Y14">
        <v>-0.60922056436538696</v>
      </c>
      <c r="Z14" s="7">
        <v>-0.9548699259758</v>
      </c>
      <c r="AA14" s="6">
        <v>1.1324421619567899</v>
      </c>
      <c r="AB14">
        <v>23.805</v>
      </c>
      <c r="AC14">
        <v>0.12</v>
      </c>
      <c r="AD14" s="7">
        <v>4.8</v>
      </c>
    </row>
    <row r="15" spans="1:30" x14ac:dyDescent="0.3">
      <c r="A15" s="1" t="s">
        <v>0</v>
      </c>
      <c r="B15" s="2">
        <v>2020</v>
      </c>
      <c r="C15" s="4">
        <v>330</v>
      </c>
      <c r="D15" s="3">
        <v>1330</v>
      </c>
      <c r="E15" s="1">
        <v>45</v>
      </c>
      <c r="F15">
        <v>49.55</v>
      </c>
      <c r="G15">
        <v>12.17</v>
      </c>
      <c r="H15" s="7">
        <v>51.4</v>
      </c>
      <c r="I15" s="6">
        <v>12.8</v>
      </c>
      <c r="J15">
        <v>86.4</v>
      </c>
      <c r="K15">
        <v>3918.64</v>
      </c>
      <c r="L15">
        <v>13.976653696498056</v>
      </c>
      <c r="M15" s="4">
        <v>3624644990.1329498</v>
      </c>
      <c r="N15">
        <v>-3.0960067313188802</v>
      </c>
      <c r="O15">
        <v>1577.9117399164461</v>
      </c>
      <c r="P15">
        <v>2.9402951426396999</v>
      </c>
      <c r="Q15" s="7">
        <v>57.3</v>
      </c>
      <c r="R15" s="6">
        <v>45.707965103104463</v>
      </c>
      <c r="S15">
        <v>19034220</v>
      </c>
      <c r="T15">
        <v>4602055</v>
      </c>
      <c r="U15" s="7">
        <v>437.64</v>
      </c>
      <c r="V15" s="6">
        <v>-0.20908862352371199</v>
      </c>
      <c r="W15">
        <v>-1.2711224555969201</v>
      </c>
      <c r="X15">
        <v>-0.45160168409347501</v>
      </c>
      <c r="Y15">
        <v>-0.66110885143279996</v>
      </c>
      <c r="Z15" s="7">
        <v>-0.963570415973663</v>
      </c>
      <c r="AA15" s="6">
        <v>1.1600576973972501</v>
      </c>
      <c r="AB15">
        <v>24.231999999999999</v>
      </c>
      <c r="AC15">
        <v>0.17199999999999999</v>
      </c>
      <c r="AD15" s="7">
        <v>4.99</v>
      </c>
    </row>
    <row r="16" spans="1:30" x14ac:dyDescent="0.3">
      <c r="A16" s="1" t="s">
        <v>0</v>
      </c>
      <c r="B16" s="2">
        <v>2021</v>
      </c>
      <c r="C16" s="4">
        <v>392</v>
      </c>
      <c r="D16" s="3">
        <v>1330</v>
      </c>
      <c r="E16" s="1">
        <v>43</v>
      </c>
      <c r="F16">
        <v>51.74</v>
      </c>
      <c r="G16">
        <v>3.52</v>
      </c>
      <c r="H16" s="7">
        <v>52.4</v>
      </c>
      <c r="I16" s="6">
        <v>11.98</v>
      </c>
      <c r="J16">
        <v>82.5</v>
      </c>
      <c r="K16">
        <v>4035.08</v>
      </c>
      <c r="L16">
        <v>12.847325963549446</v>
      </c>
      <c r="M16" s="4">
        <v>3483461605.6537199</v>
      </c>
      <c r="N16">
        <v>3.0263893638938981</v>
      </c>
      <c r="O16">
        <v>1625.2350214797902</v>
      </c>
      <c r="P16">
        <v>2.9207347759294899</v>
      </c>
      <c r="Q16" s="7">
        <v>57.3</v>
      </c>
      <c r="R16" s="6">
        <v>44.825968728755953</v>
      </c>
      <c r="S16">
        <v>20130392</v>
      </c>
      <c r="T16">
        <v>4714282</v>
      </c>
      <c r="U16" s="7">
        <v>415.12</v>
      </c>
      <c r="V16" s="6">
        <v>-0.131573155522346</v>
      </c>
      <c r="W16">
        <v>-1.1974893808364899</v>
      </c>
      <c r="X16">
        <v>-0.47810989618301403</v>
      </c>
      <c r="Y16">
        <v>-0.68609958887100198</v>
      </c>
      <c r="Z16" s="7">
        <v>-0.91912627220153797</v>
      </c>
      <c r="AA16" s="6">
        <v>1.16513584860257</v>
      </c>
      <c r="AB16">
        <v>24.667999999999999</v>
      </c>
      <c r="AC16">
        <v>0.39600000000000002</v>
      </c>
      <c r="AD16" s="7">
        <v>5.2</v>
      </c>
    </row>
    <row r="17" spans="1:30" x14ac:dyDescent="0.3">
      <c r="A17" s="1" t="s">
        <v>0</v>
      </c>
      <c r="B17" s="2">
        <v>2022</v>
      </c>
      <c r="C17" s="4">
        <v>477</v>
      </c>
      <c r="D17" s="3">
        <v>1676</v>
      </c>
      <c r="E17" s="1">
        <v>52</v>
      </c>
      <c r="F17">
        <v>50.74</v>
      </c>
      <c r="G17">
        <v>24.93</v>
      </c>
      <c r="H17" s="7">
        <f>ROUND(((H15-H14)/H14)*H16+H16,1)</f>
        <v>50.8</v>
      </c>
      <c r="I17" s="6">
        <v>12.38</v>
      </c>
      <c r="J17">
        <v>92.3</v>
      </c>
      <c r="K17">
        <f>ROUND(((K15-K14)/K14)*K16+K16,2)</f>
        <v>3885.53</v>
      </c>
      <c r="L17">
        <v>13.512269938650306</v>
      </c>
      <c r="M17" s="4">
        <v>3578831295.87393</v>
      </c>
      <c r="N17">
        <v>5.2398102893046001</v>
      </c>
      <c r="O17">
        <v>1759.6080234604356</v>
      </c>
      <c r="P17">
        <v>5.3437026489543697</v>
      </c>
      <c r="Q17" s="7">
        <v>57.1</v>
      </c>
      <c r="R17" s="6">
        <f>((R15-R14)/R14)*R16+R16</f>
        <v>43.977366569800388</v>
      </c>
      <c r="S17">
        <v>19955042</v>
      </c>
      <c r="T17">
        <v>4676315</v>
      </c>
      <c r="U17" s="7">
        <v>417.71</v>
      </c>
      <c r="V17" s="6">
        <v>-3.6172445863485302E-2</v>
      </c>
      <c r="W17">
        <v>-1.24149858951569</v>
      </c>
      <c r="X17">
        <v>-0.351662397384644</v>
      </c>
      <c r="Y17">
        <v>-0.70980101823806796</v>
      </c>
      <c r="Z17" s="7">
        <v>-0.86658465862274203</v>
      </c>
      <c r="AA17" s="6">
        <v>1.07216738142292</v>
      </c>
      <c r="AB17">
        <v>25.114000000000001</v>
      </c>
      <c r="AC17">
        <v>0.247</v>
      </c>
      <c r="AD17" s="7">
        <v>5.2</v>
      </c>
    </row>
    <row r="18" spans="1:30" ht="15" thickBot="1" x14ac:dyDescent="0.35">
      <c r="A18" s="1" t="s">
        <v>0</v>
      </c>
      <c r="B18" s="2">
        <v>2023</v>
      </c>
      <c r="C18" s="8">
        <v>482</v>
      </c>
      <c r="D18" s="9">
        <v>1791</v>
      </c>
      <c r="E18" s="10">
        <v>52</v>
      </c>
      <c r="F18" s="11">
        <f>ROUND(((F17-F16)/F16)*F17+F17,2)</f>
        <v>49.76</v>
      </c>
      <c r="G18" s="11">
        <v>5.44</v>
      </c>
      <c r="H18" s="12">
        <f>ROUND(((H16-H15)/H15)*H17+H17,1)</f>
        <v>51.8</v>
      </c>
      <c r="I18" s="13">
        <f>ROUND(((I17-I16)/I16)*I17+I17,2)</f>
        <v>12.79</v>
      </c>
      <c r="J18" s="11">
        <f>ROUND(((J15-J16)/J16)*J17+J17,1)</f>
        <v>96.7</v>
      </c>
      <c r="K18" s="11">
        <f>ROUND(((K16-K15)/K15)*K17+K17,2)</f>
        <v>4000.99</v>
      </c>
      <c r="L18" s="11">
        <v>13.293095833946708</v>
      </c>
      <c r="M18" s="8">
        <v>3958792378.8864002</v>
      </c>
      <c r="N18" s="11">
        <v>5.3999999999544173</v>
      </c>
      <c r="O18" s="11">
        <v>1875.0714819294767</v>
      </c>
      <c r="P18" s="11">
        <v>2.12746796594194</v>
      </c>
      <c r="Q18" s="12">
        <v>56.5</v>
      </c>
      <c r="R18" s="13">
        <f>((R16-R15)/R15)*R17+R17</f>
        <v>43.128764410844838</v>
      </c>
      <c r="S18" s="11">
        <f>ROUND(((S17-S16)/S16)*S17+S17,1)</f>
        <v>19781219.399999999</v>
      </c>
      <c r="T18" s="11">
        <f>ROUND(((T17-T16)/T16)*T17+T17,2)</f>
        <v>4638653.7699999996</v>
      </c>
      <c r="U18" s="12">
        <f>ROUND(((U17-U16)/U16)*U17+U17,2)</f>
        <v>420.32</v>
      </c>
      <c r="V18" s="13">
        <f>((V17-V16)/V16)*V17+V17</f>
        <v>-9.9446261249282915E-3</v>
      </c>
      <c r="W18" s="11">
        <f>((W17-W16)/W16)*W17+W17</f>
        <v>-1.2871251907827195</v>
      </c>
      <c r="X18" s="11">
        <f>((X17-X16)/X16)*X17+X17</f>
        <v>-0.25865693791658606</v>
      </c>
      <c r="Y18" s="11">
        <f>((Y17-Y16)/Y16)*Y17+Y17</f>
        <v>-0.73432121759589641</v>
      </c>
      <c r="Z18" s="12">
        <f>((Z17-Z16)/Z16)*Z17+Z17</f>
        <v>-0.81704657267769676</v>
      </c>
      <c r="AA18" s="13">
        <v>1.04996511061926</v>
      </c>
      <c r="AB18" s="11">
        <v>25.57</v>
      </c>
      <c r="AC18" s="11">
        <v>0.23899999999999999</v>
      </c>
      <c r="AD18" s="12">
        <f>ROUND(((AD17-AD16)/AD16)*AD17+AD17,2)</f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2024-12-08T08:19:48Z</dcterms:created>
  <dcterms:modified xsi:type="dcterms:W3CDTF">2024-12-08T09:55:43Z</dcterms:modified>
</cp:coreProperties>
</file>