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E370F8A6-4939-475D-B0BD-8DB03074BC3B}" xr6:coauthVersionLast="47" xr6:coauthVersionMax="47" xr10:uidLastSave="{00000000-0000-0000-0000-000000000000}"/>
  <bookViews>
    <workbookView xWindow="3480" yWindow="3528" windowWidth="10116" windowHeight="6000" xr2:uid="{666F979D-2BD5-40E6-9801-995C0F266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T18" i="1"/>
  <c r="S18" i="1"/>
  <c r="R17" i="1"/>
  <c r="R18" i="1" s="1"/>
  <c r="H17" i="1"/>
  <c r="H18" i="1" s="1"/>
</calcChain>
</file>

<file path=xl/sharedStrings.xml><?xml version="1.0" encoding="utf-8"?>
<sst xmlns="http://schemas.openxmlformats.org/spreadsheetml/2006/main" count="47" uniqueCount="31">
  <si>
    <t>Viet Nam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</si>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</sst>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1" fillId="0" borderId="1" xfId="1" applyBorder="1"/>
    <xf numFmtId="0" fontId="1" fillId="0" borderId="2" xfId="1" applyBorder="1"/>
    <xf numFmtId="0" fontId="0" fillId="0" borderId="1" xfId="0" applyBorder="1"/>
    <xf numFmtId="0" fontId="0" fillId="0" borderId="2" xfId="0" applyBorder="1"/>
    <xf numFmtId="0" fontId="1" fillId="0" borderId="3" xfId="1" applyBorder="1"/>
    <xf numFmtId="1" fontId="1" fillId="0" borderId="4" xfId="1" applyNumberFormat="1" applyBorder="1"/>
    <xf numFmtId="0" fontId="1" fillId="0" borderId="4" xfId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 2" xfId="1" xr:uid="{D96BC12C-1F1F-413B-AC00-070E86E898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2BE0-1AE2-405B-B306-4EA53BE610C6}">
  <dimension ref="A1:AD18"/>
  <sheetViews>
    <sheetView tabSelected="1" workbookViewId="0">
      <selection activeCell="AE3" sqref="AE3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6" width="12" bestFit="1" customWidth="1"/>
    <col min="18" max="20" width="12" bestFit="1" customWidth="1"/>
    <col min="21" max="22" width="15" bestFit="1" customWidth="1"/>
    <col min="23" max="23" width="17" bestFit="1" customWidth="1"/>
    <col min="24" max="24" width="12.6640625" bestFit="1" customWidth="1"/>
    <col min="25" max="25" width="16.6640625" bestFit="1" customWidth="1"/>
    <col min="26" max="26" width="12.6640625" bestFit="1" customWidth="1"/>
    <col min="27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14" t="s">
        <v>1</v>
      </c>
      <c r="B1" s="14" t="s">
        <v>2</v>
      </c>
      <c r="C1" s="15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7" t="s">
        <v>8</v>
      </c>
      <c r="I1" s="15" t="s">
        <v>9</v>
      </c>
      <c r="J1" s="16" t="s">
        <v>10</v>
      </c>
      <c r="K1" s="16" t="s">
        <v>11</v>
      </c>
      <c r="L1" s="16" t="s">
        <v>12</v>
      </c>
      <c r="M1" s="15" t="s">
        <v>13</v>
      </c>
      <c r="N1" s="16" t="s">
        <v>14</v>
      </c>
      <c r="O1" s="16" t="s">
        <v>15</v>
      </c>
      <c r="P1" s="16" t="s">
        <v>16</v>
      </c>
      <c r="Q1" s="17" t="s">
        <v>17</v>
      </c>
      <c r="R1" s="15" t="s">
        <v>18</v>
      </c>
      <c r="S1" s="16" t="s">
        <v>19</v>
      </c>
      <c r="T1" s="16" t="s">
        <v>20</v>
      </c>
      <c r="U1" s="17" t="s">
        <v>21</v>
      </c>
      <c r="V1" s="15" t="s">
        <v>22</v>
      </c>
      <c r="W1" s="16" t="s">
        <v>23</v>
      </c>
      <c r="X1" s="16" t="s">
        <v>24</v>
      </c>
      <c r="Y1" s="16" t="s">
        <v>25</v>
      </c>
      <c r="Z1" s="17" t="s">
        <v>26</v>
      </c>
      <c r="AA1" s="15" t="s">
        <v>27</v>
      </c>
      <c r="AB1" s="16" t="s">
        <v>28</v>
      </c>
      <c r="AC1" s="16" t="s">
        <v>29</v>
      </c>
      <c r="AD1" s="17" t="s">
        <v>30</v>
      </c>
    </row>
    <row r="2" spans="1:30" x14ac:dyDescent="0.3">
      <c r="A2" s="1" t="s">
        <v>0</v>
      </c>
      <c r="B2" s="2">
        <v>2007</v>
      </c>
      <c r="C2" s="4">
        <v>5</v>
      </c>
      <c r="D2" s="3">
        <v>4868</v>
      </c>
      <c r="E2" s="1">
        <v>125</v>
      </c>
      <c r="F2">
        <v>35.1</v>
      </c>
      <c r="G2">
        <v>8.7799999999999994</v>
      </c>
      <c r="H2" s="5">
        <v>41.9</v>
      </c>
      <c r="I2" s="6">
        <v>66.790000000000006</v>
      </c>
      <c r="J2">
        <v>93.1</v>
      </c>
      <c r="K2">
        <v>4368.38</v>
      </c>
      <c r="L2">
        <v>17.327895859778</v>
      </c>
      <c r="M2" s="4">
        <v>6700000000</v>
      </c>
      <c r="N2">
        <v>7.1295044860543868</v>
      </c>
      <c r="O2">
        <v>913.31233160175509</v>
      </c>
      <c r="P2">
        <v>8.3444488977383706</v>
      </c>
      <c r="Q2" s="7">
        <v>49.8</v>
      </c>
      <c r="R2" s="6">
        <v>41.294326173062281</v>
      </c>
      <c r="S2">
        <v>101429540</v>
      </c>
      <c r="T2">
        <v>19767962</v>
      </c>
      <c r="U2" s="7">
        <v>438.9</v>
      </c>
      <c r="V2" s="6">
        <v>0.25187197327613797</v>
      </c>
      <c r="W2">
        <v>-0.63016563653945901</v>
      </c>
      <c r="X2">
        <v>-0.225955650210381</v>
      </c>
      <c r="Y2">
        <v>-0.57259863615036</v>
      </c>
      <c r="Z2" s="7">
        <v>-0.49020618200302102</v>
      </c>
      <c r="AA2" s="6">
        <v>0.96076781166711001</v>
      </c>
      <c r="AB2">
        <v>28.504000000000001</v>
      </c>
      <c r="AC2">
        <v>2.0259999999999998</v>
      </c>
      <c r="AD2" s="7">
        <v>7.12</v>
      </c>
    </row>
    <row r="3" spans="1:30" x14ac:dyDescent="0.3">
      <c r="A3" s="1" t="s">
        <v>0</v>
      </c>
      <c r="B3" s="2">
        <v>2008</v>
      </c>
      <c r="C3" s="4">
        <v>5</v>
      </c>
      <c r="D3" s="3">
        <v>5869</v>
      </c>
      <c r="E3" s="1">
        <v>125</v>
      </c>
      <c r="F3">
        <v>36.69</v>
      </c>
      <c r="G3">
        <v>20.07</v>
      </c>
      <c r="H3" s="5">
        <v>39.299999999999997</v>
      </c>
      <c r="I3" s="6">
        <v>74.17</v>
      </c>
      <c r="J3">
        <v>93.8</v>
      </c>
      <c r="K3">
        <v>5341.39</v>
      </c>
      <c r="L3">
        <v>15.5180332888607</v>
      </c>
      <c r="M3" s="4">
        <v>9579000000</v>
      </c>
      <c r="N3">
        <v>5.6617712089136205</v>
      </c>
      <c r="O3">
        <v>1158.1016273541741</v>
      </c>
      <c r="P3">
        <v>23.1154483474477</v>
      </c>
      <c r="Q3" s="7">
        <v>50.4</v>
      </c>
      <c r="R3" s="6">
        <v>41.776221898258264</v>
      </c>
      <c r="S3">
        <v>114302696</v>
      </c>
      <c r="T3">
        <v>17456440</v>
      </c>
      <c r="U3" s="7">
        <v>421.84</v>
      </c>
      <c r="V3" s="6">
        <v>0.16526082158088701</v>
      </c>
      <c r="W3">
        <v>-0.71153289079666104</v>
      </c>
      <c r="X3">
        <v>-0.19957417249679599</v>
      </c>
      <c r="Y3">
        <v>-0.63067597150802601</v>
      </c>
      <c r="Z3" s="7">
        <v>-0.464453905820847</v>
      </c>
      <c r="AA3" s="6">
        <v>0.980254857535931</v>
      </c>
      <c r="AB3">
        <v>29.128</v>
      </c>
      <c r="AC3">
        <v>1.889</v>
      </c>
      <c r="AD3" s="7">
        <v>7.34</v>
      </c>
    </row>
    <row r="4" spans="1:30" x14ac:dyDescent="0.3">
      <c r="A4" s="1" t="s">
        <v>0</v>
      </c>
      <c r="B4" s="2">
        <v>2009</v>
      </c>
      <c r="C4" s="4">
        <v>5</v>
      </c>
      <c r="D4" s="3">
        <v>7142</v>
      </c>
      <c r="E4" s="1">
        <v>125</v>
      </c>
      <c r="F4">
        <v>37.26</v>
      </c>
      <c r="G4">
        <v>22.15</v>
      </c>
      <c r="H4" s="5">
        <v>37</v>
      </c>
      <c r="I4" s="6">
        <v>84.37</v>
      </c>
      <c r="J4">
        <v>96.1</v>
      </c>
      <c r="K4">
        <v>5408.3</v>
      </c>
      <c r="L4">
        <v>17.241084409475754</v>
      </c>
      <c r="M4" s="4">
        <v>7600000000</v>
      </c>
      <c r="N4">
        <v>5.3978975401418126</v>
      </c>
      <c r="O4">
        <v>1225.8450094848652</v>
      </c>
      <c r="P4">
        <v>6.71698269988629</v>
      </c>
      <c r="Q4" s="7">
        <v>51</v>
      </c>
      <c r="R4" s="6">
        <v>42.293066293219766</v>
      </c>
      <c r="S4">
        <v>124493390</v>
      </c>
      <c r="T4">
        <v>22372658</v>
      </c>
      <c r="U4" s="7">
        <v>411.95</v>
      </c>
      <c r="V4" s="6">
        <v>0.27177596092224099</v>
      </c>
      <c r="W4">
        <v>-0.54506403207778897</v>
      </c>
      <c r="X4">
        <v>-0.245095103979111</v>
      </c>
      <c r="Y4">
        <v>-0.63336628675460804</v>
      </c>
      <c r="Z4" s="7">
        <v>-0.53152966499328602</v>
      </c>
      <c r="AA4" s="6">
        <v>1.0293921162388799</v>
      </c>
      <c r="AB4">
        <v>29.762</v>
      </c>
      <c r="AC4">
        <v>1.7370000000000001</v>
      </c>
      <c r="AD4" s="7">
        <v>7.55</v>
      </c>
    </row>
    <row r="5" spans="1:30" x14ac:dyDescent="0.3">
      <c r="A5" s="1" t="s">
        <v>0</v>
      </c>
      <c r="B5" s="2">
        <v>2010</v>
      </c>
      <c r="C5" s="4">
        <v>5</v>
      </c>
      <c r="D5" s="3">
        <v>8653</v>
      </c>
      <c r="E5" s="1">
        <v>125</v>
      </c>
      <c r="F5">
        <v>31.2</v>
      </c>
      <c r="G5">
        <v>20.36</v>
      </c>
      <c r="H5" s="7">
        <v>34.6</v>
      </c>
      <c r="I5" s="6">
        <v>96.36</v>
      </c>
      <c r="J5">
        <v>97.4</v>
      </c>
      <c r="K5">
        <v>6180.29</v>
      </c>
      <c r="L5">
        <v>16.978268112991003</v>
      </c>
      <c r="M5" s="4">
        <v>8000000000</v>
      </c>
      <c r="N5">
        <v>6.4232448223948211</v>
      </c>
      <c r="O5">
        <v>1684.0117718460776</v>
      </c>
      <c r="P5">
        <v>9.2074664877841297</v>
      </c>
      <c r="Q5" s="7">
        <v>49.8</v>
      </c>
      <c r="R5" s="6">
        <v>42.733215446194315</v>
      </c>
      <c r="S5">
        <v>139563840</v>
      </c>
      <c r="T5">
        <v>20492396</v>
      </c>
      <c r="U5" s="7">
        <v>450.72</v>
      </c>
      <c r="V5" s="6">
        <v>0.14840787649154699</v>
      </c>
      <c r="W5">
        <v>-0.62254327535629295</v>
      </c>
      <c r="X5">
        <v>-0.24295505881309501</v>
      </c>
      <c r="Y5">
        <v>-0.63191938400268599</v>
      </c>
      <c r="Z5" s="7">
        <v>-0.58130490779876698</v>
      </c>
      <c r="AA5" s="6">
        <v>1.06742976658398</v>
      </c>
      <c r="AB5">
        <v>30.417000000000002</v>
      </c>
      <c r="AC5">
        <v>1.1140000000000001</v>
      </c>
      <c r="AD5" s="7">
        <v>7.63</v>
      </c>
    </row>
    <row r="6" spans="1:30" x14ac:dyDescent="0.3">
      <c r="A6" s="1" t="s">
        <v>0</v>
      </c>
      <c r="B6" s="2">
        <v>2011</v>
      </c>
      <c r="C6" s="4">
        <v>5</v>
      </c>
      <c r="D6" s="3">
        <v>10080</v>
      </c>
      <c r="E6" s="1">
        <v>125</v>
      </c>
      <c r="F6">
        <v>40.58</v>
      </c>
      <c r="G6">
        <v>16.190000000000001</v>
      </c>
      <c r="H6" s="7">
        <v>36.299999999999997</v>
      </c>
      <c r="I6" s="6">
        <v>105.38</v>
      </c>
      <c r="J6">
        <v>99</v>
      </c>
      <c r="K6">
        <v>6758.89</v>
      </c>
      <c r="L6">
        <v>16.999363633318822</v>
      </c>
      <c r="M6" s="4">
        <v>7430000000</v>
      </c>
      <c r="N6">
        <v>6.4131688968168277</v>
      </c>
      <c r="O6">
        <v>1953.5571496874691</v>
      </c>
      <c r="P6">
        <v>18.677732277070699</v>
      </c>
      <c r="Q6" s="7">
        <v>51.6</v>
      </c>
      <c r="R6" s="6">
        <v>43.164732319556698</v>
      </c>
      <c r="S6">
        <v>152560270</v>
      </c>
      <c r="T6">
        <v>19371584</v>
      </c>
      <c r="U6" s="7">
        <v>405.48</v>
      </c>
      <c r="V6" s="6">
        <v>0.18908844888210299</v>
      </c>
      <c r="W6">
        <v>-0.61472994089126598</v>
      </c>
      <c r="X6">
        <v>-0.209270849823952</v>
      </c>
      <c r="Y6">
        <v>-0.60995864868164096</v>
      </c>
      <c r="Z6" s="7">
        <v>-0.54188078641891502</v>
      </c>
      <c r="AA6" s="6">
        <v>1.0674934226997199</v>
      </c>
      <c r="AB6">
        <v>31.08</v>
      </c>
      <c r="AC6">
        <v>0.999</v>
      </c>
      <c r="AD6" s="7">
        <v>7.71</v>
      </c>
    </row>
    <row r="7" spans="1:30" x14ac:dyDescent="0.3">
      <c r="A7" s="1" t="s">
        <v>0</v>
      </c>
      <c r="B7" s="2">
        <v>2012</v>
      </c>
      <c r="C7" s="4">
        <v>5</v>
      </c>
      <c r="D7" s="3">
        <v>13552</v>
      </c>
      <c r="E7" s="1">
        <v>125</v>
      </c>
      <c r="F7">
        <v>46.39</v>
      </c>
      <c r="G7">
        <v>33.9</v>
      </c>
      <c r="H7" s="7">
        <v>37.9</v>
      </c>
      <c r="I7" s="6">
        <v>116.61</v>
      </c>
      <c r="J7">
        <v>97.9</v>
      </c>
      <c r="K7">
        <v>6990.18</v>
      </c>
      <c r="L7">
        <v>18.448328340515513</v>
      </c>
      <c r="M7" s="4">
        <v>8368000000</v>
      </c>
      <c r="N7">
        <v>5.5045447041188993</v>
      </c>
      <c r="O7">
        <v>2190.2324398771984</v>
      </c>
      <c r="P7">
        <v>9.0947033955719192</v>
      </c>
      <c r="Q7" s="7">
        <v>51.3</v>
      </c>
      <c r="R7" s="6">
        <v>43.57082470641906</v>
      </c>
      <c r="S7">
        <v>144277150</v>
      </c>
      <c r="T7">
        <v>20350364</v>
      </c>
      <c r="U7" s="7">
        <v>369.4</v>
      </c>
      <c r="V7" s="6">
        <v>0.26735866069793701</v>
      </c>
      <c r="W7">
        <v>-0.53210598230361905</v>
      </c>
      <c r="X7">
        <v>-0.248135596513748</v>
      </c>
      <c r="Y7">
        <v>-0.67662972211837802</v>
      </c>
      <c r="Z7" s="7">
        <v>-0.55492377281188998</v>
      </c>
      <c r="AA7" s="6">
        <v>1.0720132221327601</v>
      </c>
      <c r="AB7">
        <v>31.751999999999999</v>
      </c>
      <c r="AC7">
        <v>1.0269999999999999</v>
      </c>
      <c r="AD7" s="7">
        <v>7.79</v>
      </c>
    </row>
    <row r="8" spans="1:30" x14ac:dyDescent="0.3">
      <c r="A8" s="1" t="s">
        <v>0</v>
      </c>
      <c r="B8" s="2">
        <v>2013</v>
      </c>
      <c r="C8" s="4">
        <v>5</v>
      </c>
      <c r="D8" s="3">
        <v>14718</v>
      </c>
      <c r="E8" s="1">
        <v>125</v>
      </c>
      <c r="F8">
        <v>46.57</v>
      </c>
      <c r="G8">
        <v>8.66</v>
      </c>
      <c r="H8" s="7">
        <v>37.4</v>
      </c>
      <c r="I8" s="6">
        <v>126.79</v>
      </c>
      <c r="J8">
        <v>98.5</v>
      </c>
      <c r="K8">
        <v>7304.97</v>
      </c>
      <c r="L8">
        <v>18.874734607218681</v>
      </c>
      <c r="M8" s="4">
        <v>8900000000</v>
      </c>
      <c r="N8">
        <v>5.5535108102607182</v>
      </c>
      <c r="O8">
        <v>2367.4993306893434</v>
      </c>
      <c r="P8">
        <v>6.5926747589919197</v>
      </c>
      <c r="Q8" s="7">
        <v>51</v>
      </c>
      <c r="R8" s="6">
        <v>44.06395211255915</v>
      </c>
      <c r="S8">
        <v>151437980</v>
      </c>
      <c r="T8">
        <v>22802928</v>
      </c>
      <c r="U8" s="7">
        <v>371.36</v>
      </c>
      <c r="V8" s="6">
        <v>0.25057727098464999</v>
      </c>
      <c r="W8">
        <v>-0.48267477750778198</v>
      </c>
      <c r="X8">
        <v>-0.24442268908023801</v>
      </c>
      <c r="Y8">
        <v>-0.65251749753952004</v>
      </c>
      <c r="Z8" s="7">
        <v>-0.51548928022384599</v>
      </c>
      <c r="AA8" s="6">
        <v>1.0763795319002201</v>
      </c>
      <c r="AB8">
        <v>32.429000000000002</v>
      </c>
      <c r="AC8">
        <v>1.3160000000000001</v>
      </c>
      <c r="AD8" s="7">
        <v>7.88</v>
      </c>
    </row>
    <row r="9" spans="1:30" x14ac:dyDescent="0.3">
      <c r="A9" s="1" t="s">
        <v>0</v>
      </c>
      <c r="B9" s="2">
        <v>2014</v>
      </c>
      <c r="C9" s="4">
        <v>5</v>
      </c>
      <c r="D9" s="3">
        <v>15745</v>
      </c>
      <c r="E9" s="1">
        <v>195</v>
      </c>
      <c r="F9">
        <v>44.11</v>
      </c>
      <c r="G9">
        <v>7.37</v>
      </c>
      <c r="H9" s="7">
        <v>36.700000000000003</v>
      </c>
      <c r="I9" s="6">
        <v>142.69</v>
      </c>
      <c r="J9">
        <v>99.2</v>
      </c>
      <c r="K9">
        <v>7980.2</v>
      </c>
      <c r="L9">
        <v>19.400340621909677</v>
      </c>
      <c r="M9" s="4">
        <v>9200000000</v>
      </c>
      <c r="N9">
        <v>6.422243121185673</v>
      </c>
      <c r="O9">
        <v>2558.7787583495938</v>
      </c>
      <c r="P9">
        <v>4.0845544663761704</v>
      </c>
      <c r="Q9" s="7">
        <v>50.8</v>
      </c>
      <c r="R9" s="6">
        <v>44.442848891569419</v>
      </c>
      <c r="S9">
        <v>181842880</v>
      </c>
      <c r="T9">
        <v>21669410</v>
      </c>
      <c r="U9" s="7">
        <v>401.2</v>
      </c>
      <c r="V9" s="6">
        <v>-2.2347357124090202E-2</v>
      </c>
      <c r="W9">
        <v>-0.43809294700622597</v>
      </c>
      <c r="X9">
        <v>-4.7144059091806398E-2</v>
      </c>
      <c r="Y9">
        <v>-0.60205823183059703</v>
      </c>
      <c r="Z9" s="7">
        <v>-0.36053863167762801</v>
      </c>
      <c r="AA9" s="6">
        <v>1.06639876535975</v>
      </c>
      <c r="AB9">
        <v>33.115000000000002</v>
      </c>
      <c r="AC9">
        <v>1.256</v>
      </c>
      <c r="AD9" s="7">
        <v>7.96</v>
      </c>
    </row>
    <row r="10" spans="1:30" x14ac:dyDescent="0.3">
      <c r="A10" s="1" t="s">
        <v>0</v>
      </c>
      <c r="B10" s="2">
        <v>2015</v>
      </c>
      <c r="C10" s="4">
        <v>5</v>
      </c>
      <c r="D10" s="3">
        <v>16628</v>
      </c>
      <c r="E10" s="1">
        <v>220</v>
      </c>
      <c r="F10">
        <v>36.36</v>
      </c>
      <c r="G10">
        <v>6.19</v>
      </c>
      <c r="H10" s="7">
        <v>27.8</v>
      </c>
      <c r="I10" s="6">
        <v>158.93</v>
      </c>
      <c r="J10">
        <v>99.3</v>
      </c>
      <c r="K10">
        <v>8964.75</v>
      </c>
      <c r="L10">
        <v>19.111401502776868</v>
      </c>
      <c r="M10" s="4">
        <v>11800000000</v>
      </c>
      <c r="N10">
        <v>6.9871543059861096</v>
      </c>
      <c r="O10">
        <v>2595.2348437295786</v>
      </c>
      <c r="P10">
        <v>0.631200905175754</v>
      </c>
      <c r="Q10" s="7">
        <v>51.7</v>
      </c>
      <c r="R10" s="6">
        <v>44.871164038891706</v>
      </c>
      <c r="S10">
        <v>215461950</v>
      </c>
      <c r="T10">
        <v>24282626</v>
      </c>
      <c r="U10" s="7">
        <v>470.46</v>
      </c>
      <c r="V10" s="6">
        <v>6.3808225095272106E-2</v>
      </c>
      <c r="W10">
        <v>-0.45781332254409801</v>
      </c>
      <c r="X10">
        <v>6.2573358416557298E-2</v>
      </c>
      <c r="Y10">
        <v>-0.50521099567413297</v>
      </c>
      <c r="Z10" s="7">
        <v>-0.35608094930648798</v>
      </c>
      <c r="AA10" s="6">
        <v>1.0422709461053701</v>
      </c>
      <c r="AB10">
        <v>33.808999999999997</v>
      </c>
      <c r="AC10">
        <v>1.849</v>
      </c>
      <c r="AD10" s="7">
        <v>8.0399999999999991</v>
      </c>
    </row>
    <row r="11" spans="1:30" x14ac:dyDescent="0.3">
      <c r="A11" s="1" t="s">
        <v>0</v>
      </c>
      <c r="B11" s="2">
        <v>2016</v>
      </c>
      <c r="C11" s="4">
        <v>5</v>
      </c>
      <c r="D11" s="3">
        <v>17849</v>
      </c>
      <c r="E11" s="1">
        <v>256</v>
      </c>
      <c r="F11">
        <v>36.67</v>
      </c>
      <c r="G11">
        <v>7.54</v>
      </c>
      <c r="H11" s="7">
        <v>26.8</v>
      </c>
      <c r="I11" s="6">
        <v>177.08</v>
      </c>
      <c r="J11">
        <v>99.2</v>
      </c>
      <c r="K11">
        <v>9651.15</v>
      </c>
      <c r="L11">
        <v>19.554284697033758</v>
      </c>
      <c r="M11" s="4">
        <v>12600000000</v>
      </c>
      <c r="N11">
        <v>6.6900089266042357</v>
      </c>
      <c r="O11">
        <v>2760.7171011171463</v>
      </c>
      <c r="P11">
        <v>2.6682481696908198</v>
      </c>
      <c r="Q11" s="7">
        <v>54</v>
      </c>
      <c r="R11" s="6">
        <v>45.878354877515655</v>
      </c>
      <c r="S11">
        <v>223203940</v>
      </c>
      <c r="T11">
        <v>23808856</v>
      </c>
      <c r="U11" s="7">
        <v>479.43</v>
      </c>
      <c r="V11" s="6">
        <v>0.22683252394199399</v>
      </c>
      <c r="W11">
        <v>-0.489483952522278</v>
      </c>
      <c r="X11">
        <v>-1.8832024186849601E-2</v>
      </c>
      <c r="Y11">
        <v>-0.50261175632476796</v>
      </c>
      <c r="Z11" s="7">
        <v>6.5185107290744795E-2</v>
      </c>
      <c r="AA11" s="6">
        <v>1.0092266326830901</v>
      </c>
      <c r="AB11">
        <v>34.51</v>
      </c>
      <c r="AC11">
        <v>1.8480000000000001</v>
      </c>
      <c r="AD11" s="7">
        <v>8.1199999999999992</v>
      </c>
    </row>
    <row r="12" spans="1:30" x14ac:dyDescent="0.3">
      <c r="A12" s="1" t="s">
        <v>0</v>
      </c>
      <c r="B12" s="2">
        <v>2017</v>
      </c>
      <c r="C12" s="4">
        <v>8</v>
      </c>
      <c r="D12" s="3">
        <v>17809</v>
      </c>
      <c r="E12" s="1">
        <v>274</v>
      </c>
      <c r="F12">
        <v>45.95</v>
      </c>
      <c r="G12">
        <v>0.14000000000000001</v>
      </c>
      <c r="H12" s="7">
        <v>28.3</v>
      </c>
      <c r="I12" s="6">
        <v>192.31</v>
      </c>
      <c r="J12">
        <v>100</v>
      </c>
      <c r="K12">
        <v>10247.799999999999</v>
      </c>
      <c r="L12">
        <v>19.883150171746415</v>
      </c>
      <c r="M12" s="4">
        <v>14100000000</v>
      </c>
      <c r="N12">
        <v>6.9401903735920598</v>
      </c>
      <c r="O12">
        <v>2992.0715319884498</v>
      </c>
      <c r="P12">
        <v>3.5202568881161702</v>
      </c>
      <c r="Q12" s="7">
        <v>52.4</v>
      </c>
      <c r="R12" s="6">
        <v>45.996336984649155</v>
      </c>
      <c r="S12">
        <v>229642500</v>
      </c>
      <c r="T12">
        <v>24090212</v>
      </c>
      <c r="U12" s="7">
        <v>416.13</v>
      </c>
      <c r="V12" s="6">
        <v>0.211421594023705</v>
      </c>
      <c r="W12">
        <v>-0.62804013490676902</v>
      </c>
      <c r="X12">
        <v>-3.4058980643749202E-2</v>
      </c>
      <c r="Y12">
        <v>-0.433582544326782</v>
      </c>
      <c r="Z12" s="7">
        <v>4.0491838008165401E-2</v>
      </c>
      <c r="AA12" s="6">
        <v>0.96871995933842803</v>
      </c>
      <c r="AB12">
        <v>35.213000000000001</v>
      </c>
      <c r="AC12">
        <v>1.8740000000000001</v>
      </c>
      <c r="AD12" s="7">
        <v>8.2100000000000009</v>
      </c>
    </row>
    <row r="13" spans="1:30" x14ac:dyDescent="0.3">
      <c r="A13" s="1" t="s">
        <v>0</v>
      </c>
      <c r="B13" s="2">
        <v>2018</v>
      </c>
      <c r="C13" s="4">
        <v>105</v>
      </c>
      <c r="D13" s="3">
        <v>17989</v>
      </c>
      <c r="E13" s="1">
        <v>382</v>
      </c>
      <c r="F13">
        <v>40.729999999999997</v>
      </c>
      <c r="G13">
        <v>2.2799999999999998</v>
      </c>
      <c r="H13" s="7">
        <v>24.3</v>
      </c>
      <c r="I13" s="6">
        <v>210.81</v>
      </c>
      <c r="J13">
        <v>100</v>
      </c>
      <c r="K13">
        <v>11413.17</v>
      </c>
      <c r="L13">
        <v>19.310975103159876</v>
      </c>
      <c r="M13" s="4">
        <v>15500000000</v>
      </c>
      <c r="N13">
        <v>7.4650068557275091</v>
      </c>
      <c r="O13">
        <v>3267.2250691192667</v>
      </c>
      <c r="P13">
        <v>3.53962805942641</v>
      </c>
      <c r="Q13" s="7">
        <v>53.1</v>
      </c>
      <c r="R13" s="6">
        <v>46.234681538721681</v>
      </c>
      <c r="S13">
        <v>257722290</v>
      </c>
      <c r="T13">
        <v>24855524</v>
      </c>
      <c r="U13" s="7">
        <v>465.03</v>
      </c>
      <c r="V13" s="6">
        <v>3.2742600888013798E-2</v>
      </c>
      <c r="W13">
        <v>-0.51154929399490401</v>
      </c>
      <c r="X13">
        <v>-1.17323715239763E-2</v>
      </c>
      <c r="Y13">
        <v>-0.37249127030372597</v>
      </c>
      <c r="Z13" s="7">
        <v>-3.5344757139682798E-2</v>
      </c>
      <c r="AA13" s="6">
        <v>0.932840031984421</v>
      </c>
      <c r="AB13">
        <v>35.918999999999997</v>
      </c>
      <c r="AC13">
        <v>1.161</v>
      </c>
      <c r="AD13" s="7">
        <v>8.2899999999999991</v>
      </c>
    </row>
    <row r="14" spans="1:30" x14ac:dyDescent="0.3">
      <c r="A14" s="1" t="s">
        <v>0</v>
      </c>
      <c r="B14" s="2">
        <v>2019</v>
      </c>
      <c r="C14" s="4">
        <v>4994</v>
      </c>
      <c r="D14" s="3">
        <v>20326</v>
      </c>
      <c r="E14" s="1">
        <v>389</v>
      </c>
      <c r="F14">
        <v>31.94</v>
      </c>
      <c r="G14">
        <v>39.39</v>
      </c>
      <c r="H14" s="7">
        <v>20.399999999999999</v>
      </c>
      <c r="I14" s="6">
        <v>228.67</v>
      </c>
      <c r="J14">
        <v>99.4</v>
      </c>
      <c r="K14">
        <v>12556.66</v>
      </c>
      <c r="L14">
        <v>18.910064524712297</v>
      </c>
      <c r="M14" s="4">
        <v>16120000000</v>
      </c>
      <c r="N14">
        <v>7.3592627010500564</v>
      </c>
      <c r="O14">
        <v>3491.0914099066317</v>
      </c>
      <c r="P14">
        <v>2.7958236745225</v>
      </c>
      <c r="Q14" s="7">
        <v>55.3</v>
      </c>
      <c r="R14" s="6">
        <v>46.476841645157272</v>
      </c>
      <c r="S14">
        <v>341788800</v>
      </c>
      <c r="T14">
        <v>24956352</v>
      </c>
      <c r="U14" s="7">
        <v>539.62</v>
      </c>
      <c r="V14" s="6">
        <v>3.8910239934921299E-2</v>
      </c>
      <c r="W14">
        <v>-0.545818030834198</v>
      </c>
      <c r="X14">
        <v>2.7983229607343701E-2</v>
      </c>
      <c r="Y14">
        <v>-0.375260800123215</v>
      </c>
      <c r="Z14" s="7">
        <v>-5.02180941402912E-2</v>
      </c>
      <c r="AA14" s="6">
        <v>0.90449121490461104</v>
      </c>
      <c r="AB14">
        <v>36.628</v>
      </c>
      <c r="AC14">
        <v>1.681</v>
      </c>
      <c r="AD14" s="7">
        <v>8.3699999999999992</v>
      </c>
    </row>
    <row r="15" spans="1:30" x14ac:dyDescent="0.3">
      <c r="A15" s="1" t="s">
        <v>0</v>
      </c>
      <c r="B15" s="2">
        <v>2020</v>
      </c>
      <c r="C15" s="4">
        <v>16661</v>
      </c>
      <c r="D15" s="3">
        <v>20817</v>
      </c>
      <c r="E15" s="1">
        <v>390</v>
      </c>
      <c r="F15">
        <v>36.299999999999997</v>
      </c>
      <c r="G15">
        <v>47.16</v>
      </c>
      <c r="H15" s="7">
        <v>18.899999999999999</v>
      </c>
      <c r="I15" s="6">
        <v>236.91</v>
      </c>
      <c r="J15">
        <v>99.8</v>
      </c>
      <c r="K15">
        <v>12461.56</v>
      </c>
      <c r="L15">
        <v>19.545163941912502</v>
      </c>
      <c r="M15" s="4">
        <v>15800000000</v>
      </c>
      <c r="N15">
        <v>2.8654132091227211</v>
      </c>
      <c r="O15">
        <v>3586.3471762476265</v>
      </c>
      <c r="P15">
        <v>3.2209343665251402</v>
      </c>
      <c r="Q15" s="7">
        <v>58.8</v>
      </c>
      <c r="R15" s="6">
        <v>46.719001751592863</v>
      </c>
      <c r="S15">
        <v>363342660</v>
      </c>
      <c r="T15">
        <v>25206590</v>
      </c>
      <c r="U15" s="7">
        <v>515.89</v>
      </c>
      <c r="V15" s="6">
        <v>-3.8535811007022899E-2</v>
      </c>
      <c r="W15">
        <v>-0.37394705414772</v>
      </c>
      <c r="X15">
        <v>0.19360642135143299</v>
      </c>
      <c r="Y15">
        <v>-0.236916333436966</v>
      </c>
      <c r="Z15" s="7">
        <v>-0.18871293962001801</v>
      </c>
      <c r="AA15" s="6">
        <v>0.90629923485203201</v>
      </c>
      <c r="AB15">
        <v>37.340000000000003</v>
      </c>
      <c r="AC15">
        <v>2.1030000000000002</v>
      </c>
      <c r="AD15" s="7">
        <v>8.4499999999999993</v>
      </c>
    </row>
    <row r="16" spans="1:30" x14ac:dyDescent="0.3">
      <c r="A16" s="1" t="s">
        <v>0</v>
      </c>
      <c r="B16" s="2">
        <v>2021</v>
      </c>
      <c r="C16" s="4">
        <v>16661</v>
      </c>
      <c r="D16" s="3">
        <v>21847</v>
      </c>
      <c r="E16" s="1">
        <v>373</v>
      </c>
      <c r="F16">
        <v>42.58</v>
      </c>
      <c r="G16">
        <v>12.02</v>
      </c>
      <c r="H16" s="7">
        <v>24.2</v>
      </c>
      <c r="I16" s="6">
        <v>245.69</v>
      </c>
      <c r="J16">
        <v>100</v>
      </c>
      <c r="K16">
        <v>12399.49</v>
      </c>
      <c r="L16">
        <v>20.261470357039428</v>
      </c>
      <c r="M16" s="4">
        <v>15660000000</v>
      </c>
      <c r="N16">
        <v>2.5537285264813079</v>
      </c>
      <c r="O16">
        <v>3759.9483290157568</v>
      </c>
      <c r="P16">
        <v>1.8347155481044399</v>
      </c>
      <c r="Q16" s="7">
        <v>61.7</v>
      </c>
      <c r="R16" s="6">
        <v>46.961161858028447</v>
      </c>
      <c r="S16">
        <v>352553020</v>
      </c>
      <c r="T16">
        <v>25621264</v>
      </c>
      <c r="U16" s="7">
        <v>476.13</v>
      </c>
      <c r="V16" s="6">
        <v>-0.118189707398415</v>
      </c>
      <c r="W16">
        <v>-0.30786031484603898</v>
      </c>
      <c r="X16">
        <v>0.24339465796947499</v>
      </c>
      <c r="Y16">
        <v>-0.40466135740280201</v>
      </c>
      <c r="Z16" s="7">
        <v>-0.17195491492748299</v>
      </c>
      <c r="AA16" s="6">
        <v>0.84418167703331004</v>
      </c>
      <c r="AB16">
        <v>38.052</v>
      </c>
      <c r="AC16">
        <v>2.3849999999999998</v>
      </c>
      <c r="AD16" s="7">
        <v>8.4499999999999993</v>
      </c>
    </row>
    <row r="17" spans="1:30" x14ac:dyDescent="0.3">
      <c r="A17" s="1" t="s">
        <v>0</v>
      </c>
      <c r="B17" s="2">
        <v>2022</v>
      </c>
      <c r="C17" s="4">
        <v>16698</v>
      </c>
      <c r="D17" s="3">
        <v>22535</v>
      </c>
      <c r="E17" s="1">
        <v>393</v>
      </c>
      <c r="F17">
        <v>50.28</v>
      </c>
      <c r="G17">
        <v>3.93</v>
      </c>
      <c r="H17" s="7">
        <f>ROUND(((H15-H14)/H14)*H16+H16,1)</f>
        <v>22.4</v>
      </c>
      <c r="I17" s="6">
        <v>260.87</v>
      </c>
      <c r="J17">
        <v>100</v>
      </c>
      <c r="K17">
        <v>12670.41</v>
      </c>
      <c r="L17">
        <v>20.89753791989197</v>
      </c>
      <c r="M17" s="4">
        <v>17900000000</v>
      </c>
      <c r="N17">
        <v>8.1235144676734308</v>
      </c>
      <c r="O17">
        <v>4179.0117903696319</v>
      </c>
      <c r="P17">
        <v>3.1565074996312901</v>
      </c>
      <c r="Q17" s="7">
        <v>60.6</v>
      </c>
      <c r="R17" s="6">
        <f>((R15-R14)/R14)*R16+R16</f>
        <v>47.205845437018247</v>
      </c>
      <c r="S17">
        <v>343606620</v>
      </c>
      <c r="T17">
        <v>25058230</v>
      </c>
      <c r="U17" s="7">
        <v>409.8</v>
      </c>
      <c r="V17" s="6">
        <v>-3.0564662069082298E-2</v>
      </c>
      <c r="W17">
        <v>-0.287282675504684</v>
      </c>
      <c r="X17">
        <v>0.17549079656600999</v>
      </c>
      <c r="Y17">
        <v>-0.42995631694793701</v>
      </c>
      <c r="Z17" s="7">
        <v>-0.15844340622425099</v>
      </c>
      <c r="AA17" s="6">
        <v>0.73479405766250805</v>
      </c>
      <c r="AB17">
        <v>38.765999999999998</v>
      </c>
      <c r="AC17">
        <v>1.5349999999999999</v>
      </c>
      <c r="AD17" s="7">
        <v>8.4499999999999993</v>
      </c>
    </row>
    <row r="18" spans="1:30" ht="15" thickBot="1" x14ac:dyDescent="0.35">
      <c r="A18" s="1" t="s">
        <v>0</v>
      </c>
      <c r="B18" s="2">
        <v>2023</v>
      </c>
      <c r="C18" s="8">
        <v>17077</v>
      </c>
      <c r="D18" s="9">
        <v>22639</v>
      </c>
      <c r="E18" s="10">
        <v>408</v>
      </c>
      <c r="F18" s="11">
        <v>42.38</v>
      </c>
      <c r="G18" s="11">
        <v>2.96</v>
      </c>
      <c r="H18" s="12">
        <f>ROUND(((H16-H15)/H15)*H17+H17,1)</f>
        <v>28.7</v>
      </c>
      <c r="I18" s="13">
        <v>266.66000000000003</v>
      </c>
      <c r="J18" s="11">
        <v>100</v>
      </c>
      <c r="K18" s="11">
        <v>13744.15</v>
      </c>
      <c r="L18" s="11">
        <v>19.560177518712326</v>
      </c>
      <c r="M18" s="8">
        <v>18500000000</v>
      </c>
      <c r="N18" s="11">
        <v>5.0464307361874887</v>
      </c>
      <c r="O18" s="11">
        <v>4346.768492378209</v>
      </c>
      <c r="P18" s="11">
        <v>3.2528928266766202</v>
      </c>
      <c r="Q18" s="12">
        <v>61.8</v>
      </c>
      <c r="R18" s="13">
        <f>((R16-R15)/R15)*R17+R17</f>
        <v>47.450529016008041</v>
      </c>
      <c r="S18" s="11">
        <f>ROUND(((S17-S16)/S16)*S17+S17,1)</f>
        <v>334887244.19999999</v>
      </c>
      <c r="T18" s="11">
        <f>ROUND(((T17-T16)/T16)*T17+T17,2)</f>
        <v>24507568.82</v>
      </c>
      <c r="U18" s="12">
        <v>475.45</v>
      </c>
      <c r="V18" s="13">
        <f>((V17-V16)/V16)*V17+V17</f>
        <v>-7.904229462621773E-3</v>
      </c>
      <c r="W18" s="11">
        <f>((W17-W16)/W16)*W17+W17</f>
        <v>-0.26808046268127644</v>
      </c>
      <c r="X18" s="11">
        <f>((X17-X16)/X16)*X17+X17</f>
        <v>0.12653120629802431</v>
      </c>
      <c r="Y18" s="11">
        <f>((Y17-Y16)/Y16)*Y17+Y17</f>
        <v>-0.45683243804132712</v>
      </c>
      <c r="Z18" s="12">
        <f>((Z17-Z16)/Z16)*Z17+Z17</f>
        <v>-0.14599357620298339</v>
      </c>
      <c r="AA18" s="13">
        <v>0.682172962745761</v>
      </c>
      <c r="AB18" s="11">
        <v>39.479999999999997</v>
      </c>
      <c r="AC18" s="11">
        <v>1.6020000000000001</v>
      </c>
      <c r="AD18" s="12">
        <f>ROUND(((AD17-AD16)/AD16)*AD17+AD17,2)</f>
        <v>8.4499999999999993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2024-12-08T08:24:18Z</dcterms:created>
  <dcterms:modified xsi:type="dcterms:W3CDTF">2024-12-08T10:06:02Z</dcterms:modified>
</cp:coreProperties>
</file>