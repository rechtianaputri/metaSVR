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F0CE3B29-E93E-44C4-85BF-781934E8A436}" xr6:coauthVersionLast="47" xr6:coauthVersionMax="47" xr10:uidLastSave="{00000000-0000-0000-0000-000000000000}"/>
  <bookViews>
    <workbookView xWindow="3480" yWindow="3528" windowWidth="10116" windowHeight="6000" xr2:uid="{94042E97-AC02-448D-846D-31D9A7D8A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U18" i="1"/>
  <c r="T18" i="1"/>
  <c r="S18" i="1"/>
  <c r="R18" i="1"/>
  <c r="I18" i="1"/>
  <c r="H18" i="1"/>
  <c r="F18" i="1"/>
  <c r="R17" i="1"/>
  <c r="K17" i="1"/>
  <c r="K18" i="1" s="1"/>
</calcChain>
</file>

<file path=xl/sharedStrings.xml><?xml version="1.0" encoding="utf-8"?>
<sst xmlns="http://schemas.openxmlformats.org/spreadsheetml/2006/main" count="47" uniqueCount="31">
  <si>
    <t>Lao PDR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</si>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</sst>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28FD85D5-4B4A-49B9-8D28-63FF12CE7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479-4920-431A-86F6-5AF31D2DE39D}">
  <dimension ref="A1:AD18"/>
  <sheetViews>
    <sheetView tabSelected="1" topLeftCell="Y1" workbookViewId="0">
      <selection activeCell="AE10" sqref="AE10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6" width="12" bestFit="1" customWidth="1"/>
    <col min="18" max="18" width="12" bestFit="1" customWidth="1"/>
    <col min="19" max="20" width="11" bestFit="1" customWidth="1"/>
    <col min="21" max="22" width="15" bestFit="1" customWidth="1"/>
    <col min="23" max="23" width="17" bestFit="1" customWidth="1"/>
    <col min="24" max="24" width="12.66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5" t="s">
        <v>18</v>
      </c>
      <c r="S1" s="6" t="s">
        <v>19</v>
      </c>
      <c r="T1" s="6" t="s">
        <v>20</v>
      </c>
      <c r="U1" s="7" t="s">
        <v>21</v>
      </c>
      <c r="V1" s="5" t="s">
        <v>22</v>
      </c>
      <c r="W1" s="6" t="s">
        <v>23</v>
      </c>
      <c r="X1" s="6" t="s">
        <v>24</v>
      </c>
      <c r="Y1" s="6" t="s">
        <v>25</v>
      </c>
      <c r="Z1" s="7" t="s">
        <v>26</v>
      </c>
      <c r="AA1" s="5" t="s">
        <v>27</v>
      </c>
      <c r="AB1" s="6" t="s">
        <v>28</v>
      </c>
      <c r="AC1" s="6" t="s">
        <v>29</v>
      </c>
      <c r="AD1" s="7" t="s">
        <v>30</v>
      </c>
    </row>
    <row r="2" spans="1:30" x14ac:dyDescent="0.3">
      <c r="A2" s="1" t="s">
        <v>0</v>
      </c>
      <c r="B2" s="2">
        <v>2007</v>
      </c>
      <c r="C2" s="8">
        <v>0</v>
      </c>
      <c r="D2" s="3">
        <v>684</v>
      </c>
      <c r="E2" s="1">
        <v>40</v>
      </c>
      <c r="F2">
        <v>100</v>
      </c>
      <c r="G2">
        <v>0</v>
      </c>
      <c r="H2" s="9">
        <v>70.7</v>
      </c>
      <c r="I2" s="10">
        <v>2.42</v>
      </c>
      <c r="J2">
        <v>55</v>
      </c>
      <c r="K2">
        <v>2575.56</v>
      </c>
      <c r="L2">
        <v>21.658097686375321</v>
      </c>
      <c r="M2" s="8">
        <v>323520000</v>
      </c>
      <c r="N2">
        <v>7.5968288005487778</v>
      </c>
      <c r="O2">
        <v>699.04146211085947</v>
      </c>
      <c r="P2">
        <v>4.6619726946970097</v>
      </c>
      <c r="Q2" s="11">
        <v>50.3</v>
      </c>
      <c r="R2" s="10">
        <v>74.028812824956674</v>
      </c>
      <c r="S2">
        <v>1835383</v>
      </c>
      <c r="T2">
        <v>2058471.2</v>
      </c>
      <c r="U2" s="11">
        <v>23.74</v>
      </c>
      <c r="V2" s="10">
        <v>-0.17647679150104501</v>
      </c>
      <c r="W2">
        <v>-1.28131055831909</v>
      </c>
      <c r="X2">
        <v>-0.90902000665664695</v>
      </c>
      <c r="Y2">
        <v>-1.18676173686981</v>
      </c>
      <c r="Z2" s="11">
        <v>-0.95650333166122403</v>
      </c>
      <c r="AA2" s="10">
        <v>1.5808715339338899</v>
      </c>
      <c r="AB2">
        <v>28.315999999999999</v>
      </c>
      <c r="AC2">
        <v>1.0660000000000001</v>
      </c>
      <c r="AD2" s="11">
        <v>4.76</v>
      </c>
    </row>
    <row r="3" spans="1:30" x14ac:dyDescent="0.3">
      <c r="A3" s="1" t="s">
        <v>0</v>
      </c>
      <c r="B3" s="2">
        <v>2008</v>
      </c>
      <c r="C3" s="8">
        <v>0</v>
      </c>
      <c r="D3" s="3">
        <v>684</v>
      </c>
      <c r="E3" s="1">
        <v>40</v>
      </c>
      <c r="F3">
        <v>100</v>
      </c>
      <c r="G3">
        <v>0</v>
      </c>
      <c r="H3" s="9">
        <v>69.3</v>
      </c>
      <c r="I3" s="10">
        <v>2.25</v>
      </c>
      <c r="J3">
        <v>66</v>
      </c>
      <c r="K3">
        <v>2873.28</v>
      </c>
      <c r="L3">
        <v>21.100397050482133</v>
      </c>
      <c r="M3" s="8">
        <v>227770000</v>
      </c>
      <c r="N3">
        <v>7.8249027633701189</v>
      </c>
      <c r="O3">
        <v>887.63959245509932</v>
      </c>
      <c r="P3">
        <v>7.6288088757751602</v>
      </c>
      <c r="Q3" s="11">
        <v>50.3</v>
      </c>
      <c r="R3" s="10">
        <v>73.81889081455806</v>
      </c>
      <c r="S3">
        <v>2131341</v>
      </c>
      <c r="T3">
        <v>2025976.9</v>
      </c>
      <c r="U3" s="11">
        <v>24.19</v>
      </c>
      <c r="V3" s="10">
        <v>1.7276132479310001E-2</v>
      </c>
      <c r="W3">
        <v>-1.2060629129409799</v>
      </c>
      <c r="X3">
        <v>-0.89213788509368896</v>
      </c>
      <c r="Y3">
        <v>-1.1361991167068499</v>
      </c>
      <c r="Z3" s="11">
        <v>-0.87418031692504905</v>
      </c>
      <c r="AA3" s="10">
        <v>1.5523244760118899</v>
      </c>
      <c r="AB3">
        <v>28.893000000000001</v>
      </c>
      <c r="AC3">
        <v>0.94099999999999995</v>
      </c>
      <c r="AD3" s="11">
        <v>4.83</v>
      </c>
    </row>
    <row r="4" spans="1:30" x14ac:dyDescent="0.3">
      <c r="A4" s="1" t="s">
        <v>0</v>
      </c>
      <c r="B4" s="2">
        <v>2009</v>
      </c>
      <c r="C4" s="8">
        <v>0</v>
      </c>
      <c r="D4" s="3">
        <v>1848</v>
      </c>
      <c r="E4" s="1">
        <v>40</v>
      </c>
      <c r="F4">
        <v>100</v>
      </c>
      <c r="G4">
        <v>168.42</v>
      </c>
      <c r="H4" s="9">
        <v>66.400000000000006</v>
      </c>
      <c r="I4" s="10">
        <v>2.62</v>
      </c>
      <c r="J4">
        <v>67.400000000000006</v>
      </c>
      <c r="K4">
        <v>2970.47</v>
      </c>
      <c r="L4">
        <v>18.206374932468936</v>
      </c>
      <c r="M4" s="8">
        <v>318598209.08999997</v>
      </c>
      <c r="N4">
        <v>7.5017749122585258</v>
      </c>
      <c r="O4">
        <v>936.79019341036803</v>
      </c>
      <c r="P4">
        <v>0.14118767498038501</v>
      </c>
      <c r="Q4" s="11">
        <v>50.4</v>
      </c>
      <c r="R4" s="10">
        <v>73.608968804159446</v>
      </c>
      <c r="S4">
        <v>2667456</v>
      </c>
      <c r="T4">
        <v>2149708</v>
      </c>
      <c r="U4" s="11">
        <v>23.74</v>
      </c>
      <c r="V4" s="10">
        <v>-0.15804822742939001</v>
      </c>
      <c r="W4">
        <v>-1.2488424777984599</v>
      </c>
      <c r="X4">
        <v>-0.96255642175674405</v>
      </c>
      <c r="Y4">
        <v>-1.07293176651001</v>
      </c>
      <c r="Z4" s="11">
        <v>-1.04979801177979</v>
      </c>
      <c r="AA4" s="10">
        <v>1.52146861670776</v>
      </c>
      <c r="AB4">
        <v>29.475000000000001</v>
      </c>
      <c r="AC4">
        <v>0.83299999999999996</v>
      </c>
      <c r="AD4" s="11">
        <v>4.9000000000000004</v>
      </c>
    </row>
    <row r="5" spans="1:30" x14ac:dyDescent="0.3">
      <c r="A5" s="1" t="s">
        <v>0</v>
      </c>
      <c r="B5" s="2">
        <v>2010</v>
      </c>
      <c r="C5" s="8">
        <v>0</v>
      </c>
      <c r="D5" s="3">
        <v>2551</v>
      </c>
      <c r="E5" s="1">
        <v>40</v>
      </c>
      <c r="F5">
        <v>100</v>
      </c>
      <c r="G5">
        <v>38.94</v>
      </c>
      <c r="H5" s="11">
        <v>64.8</v>
      </c>
      <c r="I5" s="10">
        <v>2.92</v>
      </c>
      <c r="J5">
        <v>70.2</v>
      </c>
      <c r="K5">
        <v>4625.6899999999996</v>
      </c>
      <c r="L5">
        <v>28.581196581196579</v>
      </c>
      <c r="M5" s="8">
        <v>278805903.12</v>
      </c>
      <c r="N5">
        <v>8.526905517397168</v>
      </c>
      <c r="O5">
        <v>1127.8348220384235</v>
      </c>
      <c r="P5">
        <v>5.9825452155008199</v>
      </c>
      <c r="Q5" s="11">
        <v>51.1</v>
      </c>
      <c r="R5" s="10">
        <v>73.399046793760832</v>
      </c>
      <c r="S5">
        <v>3004513</v>
      </c>
      <c r="T5">
        <v>2352147</v>
      </c>
      <c r="U5" s="11">
        <v>23.92</v>
      </c>
      <c r="V5" s="10">
        <v>-0.282062977552414</v>
      </c>
      <c r="W5">
        <v>-1.1957310438156099</v>
      </c>
      <c r="X5">
        <v>-0.86884611845016502</v>
      </c>
      <c r="Y5">
        <v>-1.01609683036804</v>
      </c>
      <c r="Z5" s="11">
        <v>-0.974354088306427</v>
      </c>
      <c r="AA5" s="10">
        <v>1.4894787970459</v>
      </c>
      <c r="AB5">
        <v>30.064</v>
      </c>
      <c r="AC5">
        <v>0.70799999999999996</v>
      </c>
      <c r="AD5" s="11">
        <v>4.9800000000000004</v>
      </c>
    </row>
    <row r="6" spans="1:30" x14ac:dyDescent="0.3">
      <c r="A6" s="1" t="s">
        <v>0</v>
      </c>
      <c r="B6" s="2">
        <v>2011</v>
      </c>
      <c r="C6" s="8">
        <v>0</v>
      </c>
      <c r="D6" s="3">
        <v>2555</v>
      </c>
      <c r="E6" s="1">
        <v>40</v>
      </c>
      <c r="F6">
        <v>100</v>
      </c>
      <c r="G6">
        <v>0.2</v>
      </c>
      <c r="H6" s="11">
        <v>63.6</v>
      </c>
      <c r="I6" s="10">
        <v>3.07</v>
      </c>
      <c r="J6">
        <v>70</v>
      </c>
      <c r="K6">
        <v>5997.19</v>
      </c>
      <c r="L6">
        <v>33.367983367983371</v>
      </c>
      <c r="M6" s="8">
        <v>300743507.13</v>
      </c>
      <c r="N6">
        <v>8.0386526802372487</v>
      </c>
      <c r="O6">
        <v>1363.7248564752122</v>
      </c>
      <c r="P6">
        <v>7.5689885610997996</v>
      </c>
      <c r="Q6" s="11">
        <v>51.3</v>
      </c>
      <c r="R6" s="10">
        <v>73.249566724436747</v>
      </c>
      <c r="S6">
        <v>3170104</v>
      </c>
      <c r="T6">
        <v>2210453.2000000002</v>
      </c>
      <c r="U6" s="11">
        <v>24.14</v>
      </c>
      <c r="V6" s="10">
        <v>-5.8007225394248997E-2</v>
      </c>
      <c r="W6">
        <v>-1.1929687261581401</v>
      </c>
      <c r="X6">
        <v>-0.83905726671218905</v>
      </c>
      <c r="Y6">
        <v>-0.97883015871047996</v>
      </c>
      <c r="Z6" s="11">
        <v>-1.00235879421234</v>
      </c>
      <c r="AA6" s="10">
        <v>1.45859508479977</v>
      </c>
      <c r="AB6">
        <v>30.66</v>
      </c>
      <c r="AC6">
        <v>1.0549999999999999</v>
      </c>
      <c r="AD6" s="11">
        <v>5.08</v>
      </c>
    </row>
    <row r="7" spans="1:30" x14ac:dyDescent="0.3">
      <c r="A7" s="1" t="s">
        <v>0</v>
      </c>
      <c r="B7" s="2">
        <v>2012</v>
      </c>
      <c r="C7" s="8">
        <v>0</v>
      </c>
      <c r="D7" s="3">
        <v>2964</v>
      </c>
      <c r="E7" s="1">
        <v>40</v>
      </c>
      <c r="F7">
        <v>100</v>
      </c>
      <c r="G7">
        <v>16</v>
      </c>
      <c r="H7" s="11">
        <v>62.4</v>
      </c>
      <c r="I7" s="10">
        <v>3.9</v>
      </c>
      <c r="J7">
        <v>76.400000000000006</v>
      </c>
      <c r="K7">
        <v>6164.58</v>
      </c>
      <c r="L7">
        <v>32.228315054835491</v>
      </c>
      <c r="M7" s="8">
        <v>617755394.53966403</v>
      </c>
      <c r="N7">
        <v>8.0260984346128339</v>
      </c>
      <c r="O7">
        <v>1566.0093475563588</v>
      </c>
      <c r="P7">
        <v>4.2551267783208999</v>
      </c>
      <c r="Q7" s="11">
        <v>50</v>
      </c>
      <c r="R7" s="10">
        <v>73.100086655112648</v>
      </c>
      <c r="S7">
        <v>3397982</v>
      </c>
      <c r="T7">
        <v>2506618</v>
      </c>
      <c r="U7" s="11">
        <v>23.97</v>
      </c>
      <c r="V7" s="10">
        <v>3.3739030361175502E-2</v>
      </c>
      <c r="W7">
        <v>-1.0250724554061901</v>
      </c>
      <c r="X7">
        <v>-0.84342086315154996</v>
      </c>
      <c r="Y7">
        <v>-0.83218997716903698</v>
      </c>
      <c r="Z7" s="11">
        <v>-0.85683524608612105</v>
      </c>
      <c r="AA7" s="10">
        <v>1.4309732746758701</v>
      </c>
      <c r="AB7">
        <v>31.263999999999999</v>
      </c>
      <c r="AC7">
        <v>1.3979999999999999</v>
      </c>
      <c r="AD7" s="11">
        <v>5.18</v>
      </c>
    </row>
    <row r="8" spans="1:30" x14ac:dyDescent="0.3">
      <c r="A8" s="1" t="s">
        <v>0</v>
      </c>
      <c r="B8" s="2">
        <v>2013</v>
      </c>
      <c r="C8" s="8">
        <v>0</v>
      </c>
      <c r="D8" s="3">
        <v>2970</v>
      </c>
      <c r="E8" s="1">
        <v>40</v>
      </c>
      <c r="F8">
        <v>100</v>
      </c>
      <c r="G8">
        <v>1.52</v>
      </c>
      <c r="H8" s="11">
        <v>58.6</v>
      </c>
      <c r="I8" s="10">
        <v>4.1399999999999997</v>
      </c>
      <c r="J8">
        <v>79.3</v>
      </c>
      <c r="K8">
        <v>7166.97</v>
      </c>
      <c r="L8">
        <v>32.466708941027264</v>
      </c>
      <c r="M8" s="8">
        <v>681397257.10379195</v>
      </c>
      <c r="N8">
        <v>8.0263002269901733</v>
      </c>
      <c r="O8">
        <v>1815.4402378619227</v>
      </c>
      <c r="P8">
        <v>6.37142717782947</v>
      </c>
      <c r="Q8" s="11">
        <v>50.1</v>
      </c>
      <c r="R8" s="10">
        <v>72.950606585788563</v>
      </c>
      <c r="S8">
        <v>4261159</v>
      </c>
      <c r="T8">
        <v>2530130</v>
      </c>
      <c r="U8" s="11">
        <v>23.44</v>
      </c>
      <c r="V8" s="10">
        <v>6.7443899810314206E-2</v>
      </c>
      <c r="W8">
        <v>-0.94036054611206099</v>
      </c>
      <c r="X8">
        <v>-0.73419201374053999</v>
      </c>
      <c r="Y8">
        <v>-0.85806941986083995</v>
      </c>
      <c r="Z8" s="11">
        <v>-0.80355447530746504</v>
      </c>
      <c r="AA8" s="10">
        <v>1.40264986092754</v>
      </c>
      <c r="AB8">
        <v>31.872</v>
      </c>
      <c r="AC8">
        <v>1.7549999999999999</v>
      </c>
      <c r="AD8" s="11">
        <v>5.28</v>
      </c>
    </row>
    <row r="9" spans="1:30" x14ac:dyDescent="0.3">
      <c r="A9" s="1" t="s">
        <v>0</v>
      </c>
      <c r="B9" s="2">
        <v>2014</v>
      </c>
      <c r="C9" s="8">
        <v>2</v>
      </c>
      <c r="D9" s="3">
        <v>3292</v>
      </c>
      <c r="E9" s="1">
        <v>40</v>
      </c>
      <c r="F9">
        <v>100</v>
      </c>
      <c r="G9">
        <v>10.73</v>
      </c>
      <c r="H9" s="11">
        <v>58.2</v>
      </c>
      <c r="I9" s="10">
        <v>4.74</v>
      </c>
      <c r="J9">
        <v>82.5</v>
      </c>
      <c r="K9">
        <v>7185.51</v>
      </c>
      <c r="L9">
        <v>31.447587354409318</v>
      </c>
      <c r="M9" s="8">
        <v>867646121.70867097</v>
      </c>
      <c r="N9">
        <v>7.6119634397931861</v>
      </c>
      <c r="O9">
        <v>1984.5082827118642</v>
      </c>
      <c r="P9">
        <v>4.1292430687377104</v>
      </c>
      <c r="Q9" s="11">
        <v>51.2</v>
      </c>
      <c r="R9" s="10">
        <v>72.801126516464478</v>
      </c>
      <c r="S9">
        <v>4449693</v>
      </c>
      <c r="T9">
        <v>2587736.5</v>
      </c>
      <c r="U9" s="11">
        <v>23.81</v>
      </c>
      <c r="V9" s="10">
        <v>0.49869298934936501</v>
      </c>
      <c r="W9">
        <v>-0.85341179370880105</v>
      </c>
      <c r="X9">
        <v>-0.41642996668815602</v>
      </c>
      <c r="Y9">
        <v>-0.88076919317245495</v>
      </c>
      <c r="Z9" s="11">
        <v>-0.75600385665893599</v>
      </c>
      <c r="AA9" s="10">
        <v>1.3649122882104301</v>
      </c>
      <c r="AB9">
        <v>32.487000000000002</v>
      </c>
      <c r="AC9">
        <v>2.117</v>
      </c>
      <c r="AD9" s="11">
        <v>5.38</v>
      </c>
    </row>
    <row r="10" spans="1:30" x14ac:dyDescent="0.3">
      <c r="A10" s="1" t="s">
        <v>0</v>
      </c>
      <c r="B10" s="2">
        <v>2015</v>
      </c>
      <c r="C10" s="8">
        <v>2</v>
      </c>
      <c r="D10" s="3">
        <v>4393</v>
      </c>
      <c r="E10" s="1">
        <v>40</v>
      </c>
      <c r="F10">
        <v>86.01</v>
      </c>
      <c r="G10">
        <v>33.06</v>
      </c>
      <c r="H10" s="11">
        <v>53.3</v>
      </c>
      <c r="I10" s="10">
        <v>6.66</v>
      </c>
      <c r="J10">
        <v>89.7</v>
      </c>
      <c r="K10">
        <v>10405.5</v>
      </c>
      <c r="L10">
        <v>22.87979612062863</v>
      </c>
      <c r="M10" s="8">
        <v>1077759914.5889499</v>
      </c>
      <c r="N10">
        <v>7.2700658437378536</v>
      </c>
      <c r="O10">
        <v>2125.458900599599</v>
      </c>
      <c r="P10">
        <v>1.2773542710299199</v>
      </c>
      <c r="Q10" s="11">
        <v>51.4</v>
      </c>
      <c r="R10" s="10">
        <v>72.651646447140379</v>
      </c>
      <c r="S10">
        <v>9229252</v>
      </c>
      <c r="T10">
        <v>2730396.8</v>
      </c>
      <c r="U10" s="11">
        <v>148.51</v>
      </c>
      <c r="V10" s="10">
        <v>0.53887152671813998</v>
      </c>
      <c r="W10">
        <v>-0.944022536277771</v>
      </c>
      <c r="X10">
        <v>-0.55470764636993397</v>
      </c>
      <c r="Y10">
        <v>-0.84590405225753795</v>
      </c>
      <c r="Z10" s="11">
        <v>-0.81900489330291704</v>
      </c>
      <c r="AA10" s="10">
        <v>1.42395616494124</v>
      </c>
      <c r="AB10">
        <v>33.107999999999997</v>
      </c>
      <c r="AC10">
        <v>2.4910000000000001</v>
      </c>
      <c r="AD10" s="11">
        <v>5.48</v>
      </c>
    </row>
    <row r="11" spans="1:30" x14ac:dyDescent="0.3">
      <c r="A11" s="1" t="s">
        <v>0</v>
      </c>
      <c r="B11" s="2">
        <v>2016</v>
      </c>
      <c r="C11" s="8">
        <v>2</v>
      </c>
      <c r="D11" s="3">
        <v>4869</v>
      </c>
      <c r="E11" s="1">
        <v>40</v>
      </c>
      <c r="F11">
        <v>68.77</v>
      </c>
      <c r="G11">
        <v>10.73</v>
      </c>
      <c r="H11" s="11">
        <v>51.7</v>
      </c>
      <c r="I11" s="10">
        <v>6.7</v>
      </c>
      <c r="J11">
        <v>89</v>
      </c>
      <c r="K11">
        <v>17431.759999999998</v>
      </c>
      <c r="L11">
        <v>21.218679763589442</v>
      </c>
      <c r="M11" s="8">
        <v>935296172.78364503</v>
      </c>
      <c r="N11">
        <v>7.0228362550113843</v>
      </c>
      <c r="O11">
        <v>2309.0499981809485</v>
      </c>
      <c r="P11">
        <v>1.59691227583204</v>
      </c>
      <c r="Q11" s="11">
        <v>49.8</v>
      </c>
      <c r="R11" s="10">
        <v>72.502166377816295</v>
      </c>
      <c r="S11">
        <v>16458120</v>
      </c>
      <c r="T11">
        <v>2905623.5</v>
      </c>
      <c r="U11" s="11">
        <v>302.86</v>
      </c>
      <c r="V11" s="10">
        <v>0.52490651607513406</v>
      </c>
      <c r="W11">
        <v>-0.98631560802459695</v>
      </c>
      <c r="X11">
        <v>-0.43282556533813499</v>
      </c>
      <c r="Y11">
        <v>-0.75647300481796298</v>
      </c>
      <c r="Z11" s="11">
        <v>-0.81131094694137595</v>
      </c>
      <c r="AA11" s="10">
        <v>1.5198136905787201</v>
      </c>
      <c r="AB11">
        <v>33.735999999999997</v>
      </c>
      <c r="AC11">
        <v>2.88</v>
      </c>
      <c r="AD11" s="11">
        <v>5.57</v>
      </c>
    </row>
    <row r="12" spans="1:30" x14ac:dyDescent="0.3">
      <c r="A12" s="1" t="s">
        <v>0</v>
      </c>
      <c r="B12" s="2">
        <v>2017</v>
      </c>
      <c r="C12" s="8">
        <v>8</v>
      </c>
      <c r="D12" s="3">
        <v>5102</v>
      </c>
      <c r="E12" s="1">
        <v>40</v>
      </c>
      <c r="F12">
        <v>64.819999999999993</v>
      </c>
      <c r="G12">
        <v>4.87</v>
      </c>
      <c r="H12" s="11">
        <v>50.6</v>
      </c>
      <c r="I12" s="10">
        <v>6.67</v>
      </c>
      <c r="J12">
        <v>93.6</v>
      </c>
      <c r="K12">
        <v>17422.66</v>
      </c>
      <c r="L12">
        <v>25.483923884514436</v>
      </c>
      <c r="M12" s="8">
        <v>1693080810.9387701</v>
      </c>
      <c r="N12">
        <v>6.8925308726988987</v>
      </c>
      <c r="O12">
        <v>2439.4624116718387</v>
      </c>
      <c r="P12">
        <v>0.82547860756802605</v>
      </c>
      <c r="Q12" s="11">
        <v>54</v>
      </c>
      <c r="R12" s="10">
        <v>72.352686308492196</v>
      </c>
      <c r="S12">
        <v>19683848</v>
      </c>
      <c r="T12">
        <v>2814078.8</v>
      </c>
      <c r="U12" s="11">
        <v>338.59</v>
      </c>
      <c r="V12" s="10">
        <v>0.39401185512542702</v>
      </c>
      <c r="W12">
        <v>-0.96706497669220004</v>
      </c>
      <c r="X12">
        <v>-0.41699415445327798</v>
      </c>
      <c r="Y12">
        <v>-0.75145888328552202</v>
      </c>
      <c r="Z12" s="11">
        <v>-0.90471827983856201</v>
      </c>
      <c r="AA12" s="10">
        <v>1.5343644950602799</v>
      </c>
      <c r="AB12">
        <v>34.368000000000002</v>
      </c>
      <c r="AC12">
        <v>3.2690000000000001</v>
      </c>
      <c r="AD12" s="11">
        <v>5.67</v>
      </c>
    </row>
    <row r="13" spans="1:30" x14ac:dyDescent="0.3">
      <c r="A13" s="1" t="s">
        <v>0</v>
      </c>
      <c r="B13" s="2">
        <v>2018</v>
      </c>
      <c r="C13" s="8">
        <v>34</v>
      </c>
      <c r="D13" s="3">
        <v>5380</v>
      </c>
      <c r="E13" s="1">
        <v>107</v>
      </c>
      <c r="F13">
        <v>65.08</v>
      </c>
      <c r="G13">
        <v>7.22</v>
      </c>
      <c r="H13" s="11">
        <v>50.2</v>
      </c>
      <c r="I13" s="10">
        <v>7.51</v>
      </c>
      <c r="J13">
        <v>92.9</v>
      </c>
      <c r="K13">
        <v>17858.32</v>
      </c>
      <c r="L13">
        <v>27.127994955863809</v>
      </c>
      <c r="M13" s="8">
        <v>1358019506.2295799</v>
      </c>
      <c r="N13">
        <v>6.2479600075587172</v>
      </c>
      <c r="O13">
        <v>2553.3604179639433</v>
      </c>
      <c r="P13">
        <v>2.04039266890201</v>
      </c>
      <c r="Q13" s="11">
        <v>53.6</v>
      </c>
      <c r="R13" s="10">
        <v>72.203206239168111</v>
      </c>
      <c r="S13">
        <v>20558106</v>
      </c>
      <c r="T13">
        <v>2852602.8</v>
      </c>
      <c r="U13" s="11">
        <v>336.14</v>
      </c>
      <c r="V13" s="10">
        <v>0.40782928466796903</v>
      </c>
      <c r="W13">
        <v>-0.99707680940628096</v>
      </c>
      <c r="X13">
        <v>-0.72339814901351895</v>
      </c>
      <c r="Y13">
        <v>-0.824817895889282</v>
      </c>
      <c r="Z13" s="11">
        <v>-0.863172948360443</v>
      </c>
      <c r="AA13" s="10">
        <v>1.51870726808495</v>
      </c>
      <c r="AB13">
        <v>35.003999999999998</v>
      </c>
      <c r="AC13">
        <v>2.8959999999999999</v>
      </c>
      <c r="AD13" s="11">
        <v>5.76</v>
      </c>
    </row>
    <row r="14" spans="1:30" x14ac:dyDescent="0.3">
      <c r="A14" s="1" t="s">
        <v>0</v>
      </c>
      <c r="B14" s="2">
        <v>2019</v>
      </c>
      <c r="C14" s="8">
        <v>34</v>
      </c>
      <c r="D14" s="3">
        <v>6224</v>
      </c>
      <c r="E14" s="1">
        <v>107</v>
      </c>
      <c r="F14">
        <v>63.48</v>
      </c>
      <c r="G14">
        <v>15.28</v>
      </c>
      <c r="H14" s="11">
        <v>50.5</v>
      </c>
      <c r="I14" s="10">
        <v>8.4700000000000006</v>
      </c>
      <c r="J14">
        <v>98.4</v>
      </c>
      <c r="K14">
        <v>18251.77</v>
      </c>
      <c r="L14">
        <v>23.733191521689584</v>
      </c>
      <c r="M14" s="8">
        <v>755524124.24936795</v>
      </c>
      <c r="N14">
        <v>5.4577350924847963</v>
      </c>
      <c r="O14">
        <v>2598.505794751577</v>
      </c>
      <c r="P14">
        <v>3.32255881256925</v>
      </c>
      <c r="Q14" s="11">
        <v>57.4</v>
      </c>
      <c r="R14" s="10">
        <v>72.053726169844026</v>
      </c>
      <c r="S14">
        <v>19534332</v>
      </c>
      <c r="T14">
        <v>3014887.8</v>
      </c>
      <c r="U14" s="11">
        <v>350.51</v>
      </c>
      <c r="V14" s="10">
        <v>0.53026825189590499</v>
      </c>
      <c r="W14">
        <v>-1.0763689279556301</v>
      </c>
      <c r="X14">
        <v>-0.81682634353637695</v>
      </c>
      <c r="Y14">
        <v>-0.756039798259735</v>
      </c>
      <c r="Z14" s="11">
        <v>-0.96869915723800704</v>
      </c>
      <c r="AA14" s="10">
        <v>1.49540481526456</v>
      </c>
      <c r="AB14">
        <v>35.645000000000003</v>
      </c>
      <c r="AC14">
        <v>2.528</v>
      </c>
      <c r="AD14" s="11">
        <v>5.85</v>
      </c>
    </row>
    <row r="15" spans="1:30" x14ac:dyDescent="0.3">
      <c r="A15" s="1" t="s">
        <v>0</v>
      </c>
      <c r="B15" s="2">
        <v>2020</v>
      </c>
      <c r="C15" s="8">
        <v>45</v>
      </c>
      <c r="D15" s="3">
        <v>8013</v>
      </c>
      <c r="E15" s="1">
        <v>107</v>
      </c>
      <c r="F15">
        <v>71.599999999999994</v>
      </c>
      <c r="G15">
        <v>28.28</v>
      </c>
      <c r="H15" s="11">
        <v>50.6</v>
      </c>
      <c r="I15" s="10">
        <v>10.59</v>
      </c>
      <c r="J15">
        <v>99.3</v>
      </c>
      <c r="K15">
        <v>19671.400000000001</v>
      </c>
      <c r="L15">
        <v>27.753854702041952</v>
      </c>
      <c r="M15" s="8">
        <v>967706086.20204496</v>
      </c>
      <c r="N15">
        <v>0.50303182901868126</v>
      </c>
      <c r="O15">
        <v>2593.3557181733631</v>
      </c>
      <c r="P15">
        <v>5.1040726295991901</v>
      </c>
      <c r="Q15" s="11">
        <v>55.5</v>
      </c>
      <c r="R15" s="10">
        <v>71.904246100519927</v>
      </c>
      <c r="S15">
        <v>19674886</v>
      </c>
      <c r="T15">
        <v>3160655.2</v>
      </c>
      <c r="U15" s="11">
        <v>278.02</v>
      </c>
      <c r="V15" s="10">
        <v>0.69388538599014304</v>
      </c>
      <c r="W15">
        <v>-1.08248507976532</v>
      </c>
      <c r="X15">
        <v>-0.73806023597717296</v>
      </c>
      <c r="Y15">
        <v>-0.840734362602234</v>
      </c>
      <c r="Z15" s="11">
        <v>-0.88095074892044101</v>
      </c>
      <c r="AA15" s="10">
        <v>1.4774566600305901</v>
      </c>
      <c r="AB15">
        <v>36.29</v>
      </c>
      <c r="AC15">
        <v>2.3140000000000001</v>
      </c>
      <c r="AD15" s="11">
        <v>5.95</v>
      </c>
    </row>
    <row r="16" spans="1:30" x14ac:dyDescent="0.3">
      <c r="A16" s="1" t="s">
        <v>0</v>
      </c>
      <c r="B16" s="2">
        <v>2021</v>
      </c>
      <c r="C16" s="8">
        <v>59</v>
      </c>
      <c r="D16" s="3">
        <v>8956</v>
      </c>
      <c r="E16" s="1">
        <v>107</v>
      </c>
      <c r="F16">
        <v>73.55</v>
      </c>
      <c r="G16">
        <v>11.71</v>
      </c>
      <c r="H16" s="11">
        <v>51.5</v>
      </c>
      <c r="I16" s="10">
        <v>11.55</v>
      </c>
      <c r="J16">
        <v>100</v>
      </c>
      <c r="K16">
        <v>18847.09</v>
      </c>
      <c r="L16">
        <v>32.099471201943693</v>
      </c>
      <c r="M16" s="8">
        <v>1071913715.60885</v>
      </c>
      <c r="N16">
        <v>2.5283510048610225</v>
      </c>
      <c r="O16">
        <v>2535.6234343971664</v>
      </c>
      <c r="P16">
        <v>3.75562036658877</v>
      </c>
      <c r="Q16" s="11">
        <v>53.9</v>
      </c>
      <c r="R16" s="10">
        <v>71.754766031195842</v>
      </c>
      <c r="S16">
        <v>23366972</v>
      </c>
      <c r="T16">
        <v>3108376.5</v>
      </c>
      <c r="U16" s="11">
        <v>260.45999999999998</v>
      </c>
      <c r="V16" s="10">
        <v>0.71241801977157604</v>
      </c>
      <c r="W16">
        <v>-1.0548460483551001</v>
      </c>
      <c r="X16">
        <v>-0.61587983369827304</v>
      </c>
      <c r="Y16">
        <v>-0.90892606973648105</v>
      </c>
      <c r="Z16" s="11">
        <v>-0.663793444633484</v>
      </c>
      <c r="AA16" s="10">
        <v>1.4332140649593801</v>
      </c>
      <c r="AB16">
        <v>36.939</v>
      </c>
      <c r="AC16">
        <v>1.9970000000000001</v>
      </c>
      <c r="AD16" s="11">
        <v>5.95</v>
      </c>
    </row>
    <row r="17" spans="1:30" x14ac:dyDescent="0.3">
      <c r="A17" s="1" t="s">
        <v>0</v>
      </c>
      <c r="B17" s="2">
        <v>2022</v>
      </c>
      <c r="C17" s="8">
        <v>59</v>
      </c>
      <c r="D17" s="3">
        <v>9646</v>
      </c>
      <c r="E17" s="1">
        <v>107</v>
      </c>
      <c r="F17">
        <v>72.989999999999995</v>
      </c>
      <c r="G17">
        <v>7.56</v>
      </c>
      <c r="H17" s="11">
        <v>49.2</v>
      </c>
      <c r="I17" s="10">
        <v>12.2</v>
      </c>
      <c r="J17">
        <v>100</v>
      </c>
      <c r="K17">
        <f>ROUND(((K15-K14)/K14)*K16+K16,2)</f>
        <v>20313.02</v>
      </c>
      <c r="L17">
        <v>30.018945580453387</v>
      </c>
      <c r="M17" s="8">
        <v>635807276.03908002</v>
      </c>
      <c r="N17">
        <v>2.7074265264315471</v>
      </c>
      <c r="O17">
        <v>2054.4307808649573</v>
      </c>
      <c r="P17">
        <v>22.956222513205599</v>
      </c>
      <c r="Q17" s="11">
        <v>49.2</v>
      </c>
      <c r="R17" s="10">
        <f>((R15-R14)/R14)*R16+R16</f>
        <v>71.605906173825048</v>
      </c>
      <c r="S17">
        <v>23193406</v>
      </c>
      <c r="T17">
        <v>3179845.2</v>
      </c>
      <c r="U17" s="11">
        <v>265.51</v>
      </c>
      <c r="V17" s="10">
        <v>0.80272752046585105</v>
      </c>
      <c r="W17">
        <v>-0.96577912569045998</v>
      </c>
      <c r="X17">
        <v>-0.59512203931808505</v>
      </c>
      <c r="Y17">
        <v>-0.98714256286621105</v>
      </c>
      <c r="Z17" s="11">
        <v>-0.80502331256866499</v>
      </c>
      <c r="AA17" s="10">
        <v>1.39649568386606</v>
      </c>
      <c r="AB17">
        <v>37.591999999999999</v>
      </c>
      <c r="AC17">
        <v>1.2090000000000001</v>
      </c>
      <c r="AD17" s="11">
        <v>5.95</v>
      </c>
    </row>
    <row r="18" spans="1:30" ht="15" thickBot="1" x14ac:dyDescent="0.35">
      <c r="A18" s="1" t="s">
        <v>0</v>
      </c>
      <c r="B18" s="2">
        <v>2023</v>
      </c>
      <c r="C18" s="12">
        <v>59</v>
      </c>
      <c r="D18" s="13">
        <v>9756</v>
      </c>
      <c r="E18" s="14">
        <v>107</v>
      </c>
      <c r="F18" s="15">
        <f>ROUND(((F17-F16)/F16)*F17+F17,2)</f>
        <v>72.430000000000007</v>
      </c>
      <c r="G18" s="15">
        <v>1.1299999999999999</v>
      </c>
      <c r="H18" s="16">
        <f>ROUND(((H17-H16)/H16)*H17+H17,1)</f>
        <v>47</v>
      </c>
      <c r="I18" s="17">
        <f>ROUND(((I17-I16)/I16)*I17+I17,2)</f>
        <v>12.89</v>
      </c>
      <c r="J18" s="15">
        <v>100</v>
      </c>
      <c r="K18" s="15">
        <f>ROUND(((K16-K15)/K15)*K17+K17,2)</f>
        <v>19461.82</v>
      </c>
      <c r="L18" s="15">
        <v>31.592390939033404</v>
      </c>
      <c r="M18" s="12">
        <v>1668163220</v>
      </c>
      <c r="N18" s="15">
        <v>3.745681401582317</v>
      </c>
      <c r="O18" s="15">
        <v>2075.4014140644076</v>
      </c>
      <c r="P18" s="15">
        <v>31.230134173264599</v>
      </c>
      <c r="Q18" s="16">
        <v>50.3</v>
      </c>
      <c r="R18" s="17">
        <f>((R16-R15)/R15)*R17+R17</f>
        <v>71.457046316454267</v>
      </c>
      <c r="S18" s="15">
        <f>ROUND(((S17-S16)/S16)*S17+S17,1)</f>
        <v>23021129.199999999</v>
      </c>
      <c r="T18" s="15">
        <f>ROUND(((T17-T16)/T16)*T17+T17,2)</f>
        <v>3252957.13</v>
      </c>
      <c r="U18" s="16">
        <f>ROUND(((U17-U16)/U16)*U17+U17,2)</f>
        <v>270.66000000000003</v>
      </c>
      <c r="V18" s="17">
        <f>((V17-V16)/V16)*V17+V17</f>
        <v>0.90448508351860524</v>
      </c>
      <c r="W18" s="15">
        <f>((W17-W16)/W16)*W17+W17</f>
        <v>-0.8842326527874883</v>
      </c>
      <c r="X18" s="15">
        <f>((X17-X16)/X16)*X17+X17</f>
        <v>-0.57506387172213957</v>
      </c>
      <c r="Y18" s="15">
        <f>((Y17-Y16)/Y16)*Y17+Y17</f>
        <v>-1.0720898782280361</v>
      </c>
      <c r="Z18" s="16">
        <f>((Z17-Z16)/Z16)*Z17+Z17</f>
        <v>-0.97630149712740333</v>
      </c>
      <c r="AA18" s="17">
        <v>1.3757686201630199</v>
      </c>
      <c r="AB18" s="15">
        <v>38.247</v>
      </c>
      <c r="AC18" s="15">
        <v>1.181</v>
      </c>
      <c r="AD18" s="16">
        <f>ROUND(((AD17-AD16)/AD16)*AD17+AD17,2)</f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2024-12-08T08:20:37Z</dcterms:created>
  <dcterms:modified xsi:type="dcterms:W3CDTF">2024-12-08T09:57:23Z</dcterms:modified>
</cp:coreProperties>
</file>