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6B98486F-EB20-4E06-A004-43BB2815CB1D}" xr6:coauthVersionLast="47" xr6:coauthVersionMax="47" xr10:uidLastSave="{00000000-0000-0000-0000-000000000000}"/>
  <bookViews>
    <workbookView xWindow="3480" yWindow="3528" windowWidth="10116" windowHeight="6000" xr2:uid="{3E01A2E3-DECD-467E-B448-221D70936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T18" i="1"/>
  <c r="S18" i="1"/>
  <c r="R18" i="1"/>
  <c r="K18" i="1"/>
  <c r="J18" i="1"/>
  <c r="H18" i="1"/>
  <c r="R17" i="1"/>
  <c r="K17" i="1"/>
  <c r="H17" i="1"/>
</calcChain>
</file>

<file path=xl/sharedStrings.xml><?xml version="1.0" encoding="utf-8"?>
<sst xmlns="http://schemas.openxmlformats.org/spreadsheetml/2006/main" count="47" uniqueCount="31">
  <si>
    <t>Myanmar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</si>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</sst>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1" applyBorder="1"/>
    <xf numFmtId="1" fontId="1" fillId="0" borderId="7" xfId="1" applyNumberFormat="1" applyBorder="1"/>
    <xf numFmtId="0" fontId="1" fillId="0" borderId="7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355EAE67-8DE4-4D11-BA0E-C9D0748C2D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FB7E-F551-4DB7-95E2-453072F3CB0D}">
  <dimension ref="A1:AD18"/>
  <sheetViews>
    <sheetView tabSelected="1" topLeftCell="X1" workbookViewId="0">
      <selection activeCell="AE6" sqref="AE6"/>
    </sheetView>
  </sheetViews>
  <sheetFormatPr defaultRowHeight="14.4" x14ac:dyDescent="0.3"/>
  <cols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3" width="12" bestFit="1" customWidth="1"/>
    <col min="14" max="14" width="12.6640625" bestFit="1" customWidth="1"/>
    <col min="15" max="16" width="12" bestFit="1" customWidth="1"/>
    <col min="18" max="18" width="12" bestFit="1" customWidth="1"/>
    <col min="19" max="19" width="11" bestFit="1" customWidth="1"/>
    <col min="20" max="20" width="12" bestFit="1" customWidth="1"/>
    <col min="21" max="22" width="15" bestFit="1" customWidth="1"/>
    <col min="23" max="23" width="17" bestFit="1" customWidth="1"/>
    <col min="24" max="24" width="12.6640625" bestFit="1" customWidth="1"/>
    <col min="25" max="25" width="16.6640625" bestFit="1" customWidth="1"/>
    <col min="26" max="26" width="12.6640625" bestFit="1" customWidth="1"/>
    <col min="27" max="27" width="12" bestFit="1" customWidth="1"/>
    <col min="28" max="28" width="11.44140625" bestFit="1" customWidth="1"/>
    <col min="29" max="29" width="13.6640625" bestFit="1" customWidth="1"/>
    <col min="30" max="30" width="9.109375" bestFit="1" customWidth="1"/>
  </cols>
  <sheetData>
    <row r="1" spans="1:30" x14ac:dyDescent="0.3">
      <c r="A1" s="8" t="s">
        <v>1</v>
      </c>
      <c r="B1" s="8" t="s">
        <v>2</v>
      </c>
      <c r="C1" s="9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1" t="s">
        <v>8</v>
      </c>
      <c r="I1" s="9" t="s">
        <v>9</v>
      </c>
      <c r="J1" s="10" t="s">
        <v>10</v>
      </c>
      <c r="K1" s="10" t="s">
        <v>11</v>
      </c>
      <c r="L1" s="10" t="s">
        <v>12</v>
      </c>
      <c r="M1" s="9" t="s">
        <v>13</v>
      </c>
      <c r="N1" s="10" t="s">
        <v>14</v>
      </c>
      <c r="O1" s="10" t="s">
        <v>15</v>
      </c>
      <c r="P1" s="10" t="s">
        <v>16</v>
      </c>
      <c r="Q1" s="11" t="s">
        <v>17</v>
      </c>
      <c r="R1" s="9" t="s">
        <v>18</v>
      </c>
      <c r="S1" s="10" t="s">
        <v>19</v>
      </c>
      <c r="T1" s="10" t="s">
        <v>20</v>
      </c>
      <c r="U1" s="11" t="s">
        <v>21</v>
      </c>
      <c r="V1" s="9" t="s">
        <v>22</v>
      </c>
      <c r="W1" s="10" t="s">
        <v>23</v>
      </c>
      <c r="X1" s="10" t="s">
        <v>24</v>
      </c>
      <c r="Y1" s="10" t="s">
        <v>25</v>
      </c>
      <c r="Z1" s="11" t="s">
        <v>26</v>
      </c>
      <c r="AA1" s="9" t="s">
        <v>27</v>
      </c>
      <c r="AB1" s="10" t="s">
        <v>28</v>
      </c>
      <c r="AC1" s="10" t="s">
        <v>29</v>
      </c>
      <c r="AD1" s="11" t="s">
        <v>30</v>
      </c>
    </row>
    <row r="2" spans="1:30" x14ac:dyDescent="0.3">
      <c r="A2" s="1" t="s">
        <v>0</v>
      </c>
      <c r="B2" s="2">
        <v>2007</v>
      </c>
      <c r="C2" s="4">
        <v>0</v>
      </c>
      <c r="D2" s="3">
        <v>779</v>
      </c>
      <c r="E2" s="1">
        <v>1</v>
      </c>
      <c r="F2">
        <v>56.56</v>
      </c>
      <c r="G2">
        <v>3.32</v>
      </c>
      <c r="H2" s="5">
        <v>80.5</v>
      </c>
      <c r="I2" s="6">
        <v>6.4</v>
      </c>
      <c r="J2">
        <v>49.5</v>
      </c>
      <c r="K2">
        <v>1648.79</v>
      </c>
      <c r="L2">
        <v>8.0120180270405612</v>
      </c>
      <c r="M2" s="4">
        <v>709922015.30980504</v>
      </c>
      <c r="N2">
        <v>11.991435240214642</v>
      </c>
      <c r="O2">
        <v>416.60043224422691</v>
      </c>
      <c r="P2">
        <v>35.024597071769797</v>
      </c>
      <c r="Q2" s="7">
        <v>41</v>
      </c>
      <c r="R2" s="6">
        <v>49.683457277512552</v>
      </c>
      <c r="S2">
        <v>12841137</v>
      </c>
      <c r="T2">
        <v>13820192</v>
      </c>
      <c r="U2" s="7">
        <v>412.5</v>
      </c>
      <c r="V2" s="6">
        <v>-1.06611335277557</v>
      </c>
      <c r="W2">
        <v>-1.6255742311477701</v>
      </c>
      <c r="X2">
        <v>-1.4942594766616799</v>
      </c>
      <c r="Y2">
        <v>-2.2737350463867201</v>
      </c>
      <c r="Z2" s="7">
        <v>-1.54923272132874</v>
      </c>
      <c r="AA2" s="6">
        <v>0.74041254913802901</v>
      </c>
      <c r="AB2">
        <v>28.318999999999999</v>
      </c>
      <c r="AC2">
        <v>0.67300000000000004</v>
      </c>
      <c r="AD2" s="7">
        <v>3.44</v>
      </c>
    </row>
    <row r="3" spans="1:30" x14ac:dyDescent="0.3">
      <c r="A3" s="1" t="s">
        <v>0</v>
      </c>
      <c r="B3" s="2">
        <v>2008</v>
      </c>
      <c r="C3" s="4">
        <v>0</v>
      </c>
      <c r="D3" s="3">
        <v>1209</v>
      </c>
      <c r="E3" s="1">
        <v>1</v>
      </c>
      <c r="F3">
        <v>61.48</v>
      </c>
      <c r="G3">
        <v>55.2</v>
      </c>
      <c r="H3" s="5">
        <v>85.6</v>
      </c>
      <c r="I3" s="6">
        <v>6.62</v>
      </c>
      <c r="J3">
        <v>50.6</v>
      </c>
      <c r="K3">
        <v>1504.84</v>
      </c>
      <c r="L3">
        <v>9.027683076503477</v>
      </c>
      <c r="M3" s="4">
        <v>863880447.31282794</v>
      </c>
      <c r="N3">
        <v>10.255305392980787</v>
      </c>
      <c r="O3">
        <v>653.86600018596141</v>
      </c>
      <c r="P3">
        <v>26.799537193402202</v>
      </c>
      <c r="Q3" s="7">
        <v>39.5</v>
      </c>
      <c r="R3" s="6">
        <v>49.174851142642844</v>
      </c>
      <c r="S3">
        <v>9772056</v>
      </c>
      <c r="T3">
        <v>13832397</v>
      </c>
      <c r="U3" s="7">
        <v>371.6</v>
      </c>
      <c r="V3" s="6">
        <v>-1.0918037891387899</v>
      </c>
      <c r="W3">
        <v>-1.61574602127075</v>
      </c>
      <c r="X3">
        <v>-1.54291808605194</v>
      </c>
      <c r="Y3">
        <v>-2.2132513523101802</v>
      </c>
      <c r="Z3" s="7">
        <v>-1.5420737266540501</v>
      </c>
      <c r="AA3" s="6">
        <v>0.584181978347596</v>
      </c>
      <c r="AB3">
        <v>28.507000000000001</v>
      </c>
      <c r="AC3">
        <v>0.68400000000000005</v>
      </c>
      <c r="AD3" s="7">
        <v>3.54</v>
      </c>
    </row>
    <row r="4" spans="1:30" x14ac:dyDescent="0.3">
      <c r="A4" s="1" t="s">
        <v>0</v>
      </c>
      <c r="B4" s="2">
        <v>2009</v>
      </c>
      <c r="C4" s="4">
        <v>0</v>
      </c>
      <c r="D4" s="3">
        <v>1463</v>
      </c>
      <c r="E4" s="1">
        <v>1</v>
      </c>
      <c r="F4">
        <v>75.47</v>
      </c>
      <c r="G4">
        <v>21.34</v>
      </c>
      <c r="H4" s="5">
        <v>85.8</v>
      </c>
      <c r="I4" s="6">
        <v>6.97</v>
      </c>
      <c r="J4">
        <v>51.8</v>
      </c>
      <c r="K4">
        <v>1377.9</v>
      </c>
      <c r="L4">
        <v>10.31981048267693</v>
      </c>
      <c r="M4" s="4">
        <v>1078972200.98264</v>
      </c>
      <c r="N4">
        <v>10.550009096193165</v>
      </c>
      <c r="O4">
        <v>752.94403589918738</v>
      </c>
      <c r="P4">
        <v>1.47234311385647</v>
      </c>
      <c r="Q4" s="7">
        <v>37.700000000000003</v>
      </c>
      <c r="R4" s="6">
        <v>48.651019439767332</v>
      </c>
      <c r="S4">
        <v>10207303</v>
      </c>
      <c r="T4">
        <v>14362514</v>
      </c>
      <c r="U4" s="7">
        <v>243.9</v>
      </c>
      <c r="V4" s="6">
        <v>-1.2944188117980999</v>
      </c>
      <c r="W4">
        <v>-1.65966737270355</v>
      </c>
      <c r="X4">
        <v>-1.6242733001709</v>
      </c>
      <c r="Y4">
        <v>-2.2343444824218799</v>
      </c>
      <c r="Z4" s="7">
        <v>-1.5350366830825799</v>
      </c>
      <c r="AA4" s="6">
        <v>0.58591206888109604</v>
      </c>
      <c r="AB4">
        <v>28.695</v>
      </c>
      <c r="AC4">
        <v>0.69599999999999995</v>
      </c>
      <c r="AD4" s="7">
        <v>3.64</v>
      </c>
    </row>
    <row r="5" spans="1:30" x14ac:dyDescent="0.3">
      <c r="A5" s="1" t="s">
        <v>0</v>
      </c>
      <c r="B5" s="2">
        <v>2010</v>
      </c>
      <c r="C5" s="4">
        <v>0</v>
      </c>
      <c r="D5" s="3">
        <v>2212</v>
      </c>
      <c r="E5" s="1">
        <v>1</v>
      </c>
      <c r="F5">
        <v>71.81</v>
      </c>
      <c r="G5">
        <v>50.92</v>
      </c>
      <c r="H5" s="7">
        <v>84.6</v>
      </c>
      <c r="I5" s="6">
        <v>8.6199999999999992</v>
      </c>
      <c r="J5">
        <v>48.8</v>
      </c>
      <c r="K5">
        <v>1386.88</v>
      </c>
      <c r="L5">
        <v>12.583941605839415</v>
      </c>
      <c r="M5" s="4">
        <v>901133534.87679696</v>
      </c>
      <c r="N5">
        <v>9.6344394520444041</v>
      </c>
      <c r="O5">
        <v>1003.033455060332</v>
      </c>
      <c r="P5">
        <v>7.7183819587361402</v>
      </c>
      <c r="Q5" s="7">
        <v>36.700000000000003</v>
      </c>
      <c r="R5" s="6">
        <v>48.129381869393505</v>
      </c>
      <c r="S5">
        <v>13121587</v>
      </c>
      <c r="T5">
        <v>14803942</v>
      </c>
      <c r="U5" s="7">
        <v>277.26</v>
      </c>
      <c r="V5" s="6">
        <v>-1.28592801094055</v>
      </c>
      <c r="W5">
        <v>-1.6728087663650499</v>
      </c>
      <c r="X5">
        <v>-1.62764239311218</v>
      </c>
      <c r="Y5">
        <v>-2.2445805072784402</v>
      </c>
      <c r="Z5" s="7">
        <v>-1.5512946844101001</v>
      </c>
      <c r="AA5" s="6">
        <v>0.76245488303560005</v>
      </c>
      <c r="AB5">
        <v>28.885000000000002</v>
      </c>
      <c r="AC5">
        <v>0.70699999999999996</v>
      </c>
      <c r="AD5" s="7">
        <v>3.74</v>
      </c>
    </row>
    <row r="6" spans="1:30" x14ac:dyDescent="0.3">
      <c r="A6" s="1" t="s">
        <v>0</v>
      </c>
      <c r="B6" s="2">
        <v>2011</v>
      </c>
      <c r="C6" s="4">
        <v>1</v>
      </c>
      <c r="D6" s="3">
        <v>2539</v>
      </c>
      <c r="E6" s="1">
        <v>2</v>
      </c>
      <c r="F6">
        <v>72.099999999999994</v>
      </c>
      <c r="G6">
        <v>14.81</v>
      </c>
      <c r="H6" s="7">
        <v>83.8</v>
      </c>
      <c r="I6" s="6">
        <v>10.43</v>
      </c>
      <c r="J6">
        <v>54.1</v>
      </c>
      <c r="K6">
        <v>1505.2</v>
      </c>
      <c r="L6">
        <v>13.91594396264176</v>
      </c>
      <c r="M6" s="4">
        <v>2519813313.27459</v>
      </c>
      <c r="N6">
        <v>5.5914823782366057</v>
      </c>
      <c r="O6">
        <v>1204.4964722422833</v>
      </c>
      <c r="P6">
        <v>5.0214601462072999</v>
      </c>
      <c r="Q6" s="7">
        <v>37.799999999999997</v>
      </c>
      <c r="R6" s="6">
        <v>47.683705551898854</v>
      </c>
      <c r="S6">
        <v>15121961</v>
      </c>
      <c r="T6">
        <v>15206145</v>
      </c>
      <c r="U6" s="7">
        <v>275.17</v>
      </c>
      <c r="V6" s="6">
        <v>-1.1110984086990401</v>
      </c>
      <c r="W6">
        <v>-1.5946890115737899</v>
      </c>
      <c r="X6">
        <v>-1.60698401927948</v>
      </c>
      <c r="Y6">
        <v>-2.1020128726959202</v>
      </c>
      <c r="Z6" s="7">
        <v>-1.4396660327911399</v>
      </c>
      <c r="AA6" s="6">
        <v>0.81369995783056004</v>
      </c>
      <c r="AB6">
        <v>29.074999999999999</v>
      </c>
      <c r="AC6">
        <v>0.72299999999999998</v>
      </c>
      <c r="AD6" s="7">
        <v>3.94</v>
      </c>
    </row>
    <row r="7" spans="1:30" x14ac:dyDescent="0.3">
      <c r="A7" s="1" t="s">
        <v>0</v>
      </c>
      <c r="B7" s="2">
        <v>2012</v>
      </c>
      <c r="C7" s="4">
        <v>3</v>
      </c>
      <c r="D7" s="3">
        <v>2673</v>
      </c>
      <c r="E7" s="1">
        <v>2</v>
      </c>
      <c r="F7">
        <v>71.33</v>
      </c>
      <c r="G7">
        <v>5.35</v>
      </c>
      <c r="H7" s="7">
        <v>78.099999999999994</v>
      </c>
      <c r="I7" s="6">
        <v>11.16</v>
      </c>
      <c r="J7">
        <v>55.3</v>
      </c>
      <c r="K7">
        <v>1779.6</v>
      </c>
      <c r="L7">
        <v>12.487411883182276</v>
      </c>
      <c r="M7" s="4">
        <v>1333856137.2703099</v>
      </c>
      <c r="N7">
        <v>7.3326704470414938</v>
      </c>
      <c r="O7">
        <v>1193.5476490879898</v>
      </c>
      <c r="P7">
        <v>1.4675832267467901</v>
      </c>
      <c r="Q7" s="7">
        <v>38.700000000000003</v>
      </c>
      <c r="R7" s="6">
        <v>47.250365153486953</v>
      </c>
      <c r="S7">
        <v>11818522</v>
      </c>
      <c r="T7">
        <v>15791448</v>
      </c>
      <c r="U7" s="7">
        <v>284.05</v>
      </c>
      <c r="V7" s="6">
        <v>-0.94367498159408603</v>
      </c>
      <c r="W7">
        <v>-1.06979167461395</v>
      </c>
      <c r="X7">
        <v>-1.4765000343322801</v>
      </c>
      <c r="Y7">
        <v>-1.8346574306487999</v>
      </c>
      <c r="Z7" s="7">
        <v>-1.3567754030227701</v>
      </c>
      <c r="AA7" s="6">
        <v>0.847223411648512</v>
      </c>
      <c r="AB7">
        <v>29.265999999999998</v>
      </c>
      <c r="AC7">
        <v>0.74199999999999999</v>
      </c>
      <c r="AD7" s="7">
        <v>4.1399999999999997</v>
      </c>
    </row>
    <row r="8" spans="1:30" x14ac:dyDescent="0.3">
      <c r="A8" s="1" t="s">
        <v>0</v>
      </c>
      <c r="B8" s="2">
        <v>2013</v>
      </c>
      <c r="C8" s="4">
        <v>4</v>
      </c>
      <c r="D8" s="3">
        <v>2812</v>
      </c>
      <c r="E8" s="1">
        <v>2</v>
      </c>
      <c r="F8">
        <v>72.55</v>
      </c>
      <c r="G8">
        <v>5.23</v>
      </c>
      <c r="H8" s="7">
        <v>75.599999999999994</v>
      </c>
      <c r="I8" s="6">
        <v>12.46</v>
      </c>
      <c r="J8">
        <v>56.5</v>
      </c>
      <c r="K8">
        <v>2042.98</v>
      </c>
      <c r="L8">
        <v>12.042137817724946</v>
      </c>
      <c r="M8" s="4">
        <v>2254603965.4934502</v>
      </c>
      <c r="N8">
        <v>8.4260010250176691</v>
      </c>
      <c r="O8">
        <v>1189.9647647803583</v>
      </c>
      <c r="P8">
        <v>5.6430388342550097</v>
      </c>
      <c r="Q8" s="7">
        <v>39.200000000000003</v>
      </c>
      <c r="R8" s="6">
        <v>46.811820910148839</v>
      </c>
      <c r="S8">
        <v>12722151</v>
      </c>
      <c r="T8">
        <v>16498361</v>
      </c>
      <c r="U8" s="7">
        <v>276.08</v>
      </c>
      <c r="V8" s="6">
        <v>-1.1403723955154399</v>
      </c>
      <c r="W8">
        <v>-1.0060563087463399</v>
      </c>
      <c r="X8">
        <v>-1.5083526372909499</v>
      </c>
      <c r="Y8">
        <v>-1.5000429153442401</v>
      </c>
      <c r="Z8" s="7">
        <v>-1.2434502840042101</v>
      </c>
      <c r="AA8" s="6">
        <v>0.85291256582615205</v>
      </c>
      <c r="AB8">
        <v>29.457000000000001</v>
      </c>
      <c r="AC8">
        <v>0.753</v>
      </c>
      <c r="AD8" s="7">
        <v>4.34</v>
      </c>
    </row>
    <row r="9" spans="1:30" x14ac:dyDescent="0.3">
      <c r="A9" s="1" t="s">
        <v>0</v>
      </c>
      <c r="B9" s="2">
        <v>2014</v>
      </c>
      <c r="C9" s="4">
        <v>6</v>
      </c>
      <c r="D9" s="3">
        <v>3188</v>
      </c>
      <c r="E9" s="1">
        <v>52</v>
      </c>
      <c r="F9">
        <v>62.96</v>
      </c>
      <c r="G9">
        <v>15.22</v>
      </c>
      <c r="H9" s="7">
        <v>72</v>
      </c>
      <c r="I9" s="6">
        <v>14.39</v>
      </c>
      <c r="J9">
        <v>52</v>
      </c>
      <c r="K9">
        <v>2368.4899999999998</v>
      </c>
      <c r="L9">
        <v>11.896494708994711</v>
      </c>
      <c r="M9" s="4">
        <v>2175015283.7771301</v>
      </c>
      <c r="N9">
        <v>8.1699074555827735</v>
      </c>
      <c r="O9">
        <v>1283.1064921137954</v>
      </c>
      <c r="P9">
        <v>4.953299184844</v>
      </c>
      <c r="Q9" s="7">
        <v>46.5</v>
      </c>
      <c r="R9" s="6">
        <v>46.368212163900289</v>
      </c>
      <c r="S9">
        <v>15849346</v>
      </c>
      <c r="T9">
        <v>17483094</v>
      </c>
      <c r="U9" s="7">
        <v>366.23</v>
      </c>
      <c r="V9" s="6">
        <v>-1.08758068084717</v>
      </c>
      <c r="W9">
        <v>-0.883994281291962</v>
      </c>
      <c r="X9">
        <v>-1.2980372905731199</v>
      </c>
      <c r="Y9">
        <v>-1.3978782892227199</v>
      </c>
      <c r="Z9" s="7">
        <v>-1.1942099332809399</v>
      </c>
      <c r="AA9" s="6">
        <v>0.83386010034123503</v>
      </c>
      <c r="AB9">
        <v>29.65</v>
      </c>
      <c r="AC9">
        <v>0.749</v>
      </c>
      <c r="AD9" s="7">
        <v>4.53</v>
      </c>
    </row>
    <row r="10" spans="1:30" x14ac:dyDescent="0.3">
      <c r="A10" s="1" t="s">
        <v>0</v>
      </c>
      <c r="B10" s="2">
        <v>2015</v>
      </c>
      <c r="C10" s="4">
        <v>21</v>
      </c>
      <c r="D10" s="3">
        <v>3190</v>
      </c>
      <c r="E10" s="1">
        <v>48</v>
      </c>
      <c r="F10">
        <v>59.51</v>
      </c>
      <c r="G10">
        <v>0.37</v>
      </c>
      <c r="H10" s="7">
        <v>70</v>
      </c>
      <c r="I10" s="6">
        <v>16.2</v>
      </c>
      <c r="J10">
        <v>60.5</v>
      </c>
      <c r="K10">
        <v>2192.52</v>
      </c>
      <c r="L10">
        <v>14.351523742026931</v>
      </c>
      <c r="M10" s="4">
        <v>4083839111.7118602</v>
      </c>
      <c r="N10">
        <v>6.9928402902612135</v>
      </c>
      <c r="O10">
        <v>1157.7839611258089</v>
      </c>
      <c r="P10">
        <v>9.4541718952601794</v>
      </c>
      <c r="Q10" s="7">
        <v>46.9</v>
      </c>
      <c r="R10" s="6">
        <v>45.924603417651745</v>
      </c>
      <c r="S10">
        <v>21887144</v>
      </c>
      <c r="T10">
        <v>17493560</v>
      </c>
      <c r="U10" s="7">
        <v>398.15</v>
      </c>
      <c r="V10" s="6">
        <v>-1.16666913032532</v>
      </c>
      <c r="W10">
        <v>-0.85378724336624101</v>
      </c>
      <c r="X10">
        <v>-1.2899043560028101</v>
      </c>
      <c r="Y10">
        <v>-1.24763536453247</v>
      </c>
      <c r="Z10" s="7">
        <v>-1.2588711977005</v>
      </c>
      <c r="AA10" s="6">
        <v>0.80251504292972098</v>
      </c>
      <c r="AB10">
        <v>29.858000000000001</v>
      </c>
      <c r="AC10">
        <v>0.76600000000000001</v>
      </c>
      <c r="AD10" s="7">
        <v>4.7300000000000004</v>
      </c>
    </row>
    <row r="11" spans="1:30" x14ac:dyDescent="0.3">
      <c r="A11" s="1" t="s">
        <v>0</v>
      </c>
      <c r="B11" s="2">
        <v>2016</v>
      </c>
      <c r="C11" s="4">
        <v>32</v>
      </c>
      <c r="D11" s="3">
        <v>3262</v>
      </c>
      <c r="E11" s="1">
        <v>49</v>
      </c>
      <c r="F11">
        <v>55.19</v>
      </c>
      <c r="G11">
        <v>2.61</v>
      </c>
      <c r="H11" s="7">
        <v>68.8</v>
      </c>
      <c r="I11" s="6">
        <v>15.74</v>
      </c>
      <c r="J11">
        <v>55.6</v>
      </c>
      <c r="K11">
        <v>2501.6</v>
      </c>
      <c r="L11">
        <v>13.958862953547493</v>
      </c>
      <c r="M11" s="4">
        <v>3278096409.8738499</v>
      </c>
      <c r="N11">
        <v>5.8624729151857196</v>
      </c>
      <c r="O11">
        <v>1219.801439249075</v>
      </c>
      <c r="P11">
        <v>6.9288252581607601</v>
      </c>
      <c r="Q11" s="7">
        <v>48.7</v>
      </c>
      <c r="R11" s="6">
        <v>45.50189956800147</v>
      </c>
      <c r="S11">
        <v>21140418</v>
      </c>
      <c r="T11">
        <v>18202342</v>
      </c>
      <c r="U11" s="7">
        <v>439.84</v>
      </c>
      <c r="V11" s="6">
        <v>-0.808124959468842</v>
      </c>
      <c r="W11">
        <v>-0.64180582761764504</v>
      </c>
      <c r="X11">
        <v>-1.01163554191589</v>
      </c>
      <c r="Y11">
        <v>-0.87264931201934803</v>
      </c>
      <c r="Z11" s="7">
        <v>-0.900859355926514</v>
      </c>
      <c r="AA11" s="6">
        <v>0.79012720053522201</v>
      </c>
      <c r="AB11">
        <v>30.082000000000001</v>
      </c>
      <c r="AC11">
        <v>1.0429999999999999</v>
      </c>
      <c r="AD11" s="7">
        <v>4.8499999999999996</v>
      </c>
    </row>
    <row r="12" spans="1:30" x14ac:dyDescent="0.3">
      <c r="A12" s="1" t="s">
        <v>0</v>
      </c>
      <c r="B12" s="2">
        <v>2017</v>
      </c>
      <c r="C12" s="4">
        <v>44</v>
      </c>
      <c r="D12" s="3">
        <v>3262</v>
      </c>
      <c r="E12" s="1">
        <v>52</v>
      </c>
      <c r="F12">
        <v>53.33</v>
      </c>
      <c r="G12">
        <v>0.42</v>
      </c>
      <c r="H12" s="7">
        <v>59.5</v>
      </c>
      <c r="I12" s="6">
        <v>19.649999999999999</v>
      </c>
      <c r="J12">
        <v>69.8</v>
      </c>
      <c r="K12">
        <v>3203.9</v>
      </c>
      <c r="L12">
        <v>12.558944666626873</v>
      </c>
      <c r="M12" s="4">
        <v>4804272487.3198605</v>
      </c>
      <c r="N12">
        <v>6.1361082436030472</v>
      </c>
      <c r="O12">
        <v>1263.2460548519148</v>
      </c>
      <c r="P12">
        <v>4.5725365531752002</v>
      </c>
      <c r="Q12" s="7">
        <v>52.5</v>
      </c>
      <c r="R12" s="6">
        <v>45.060160857908848</v>
      </c>
      <c r="S12">
        <v>23630088</v>
      </c>
      <c r="T12">
        <v>20190034</v>
      </c>
      <c r="U12" s="7">
        <v>451.05</v>
      </c>
      <c r="V12" s="6">
        <v>-1.08409428596497</v>
      </c>
      <c r="W12">
        <v>-0.59076124429702803</v>
      </c>
      <c r="X12">
        <v>-1.08796751499176</v>
      </c>
      <c r="Y12">
        <v>-0.84192025661468495</v>
      </c>
      <c r="Z12" s="7">
        <v>-0.95970630645751998</v>
      </c>
      <c r="AA12" s="6">
        <v>0.76020595961281201</v>
      </c>
      <c r="AB12">
        <v>30.321999999999999</v>
      </c>
      <c r="AC12">
        <v>1.3560000000000001</v>
      </c>
      <c r="AD12" s="7">
        <v>5.36</v>
      </c>
    </row>
    <row r="13" spans="1:30" x14ac:dyDescent="0.3">
      <c r="A13" s="1" t="s">
        <v>0</v>
      </c>
      <c r="B13" s="2">
        <v>2018</v>
      </c>
      <c r="C13" s="4">
        <v>48</v>
      </c>
      <c r="D13" s="3">
        <v>3269</v>
      </c>
      <c r="E13" s="1">
        <v>57</v>
      </c>
      <c r="F13">
        <v>58.18</v>
      </c>
      <c r="G13">
        <v>0.48</v>
      </c>
      <c r="H13" s="7">
        <v>59.4</v>
      </c>
      <c r="I13" s="6">
        <v>20.21</v>
      </c>
      <c r="J13">
        <v>66.099999999999994</v>
      </c>
      <c r="K13">
        <v>3270.8</v>
      </c>
      <c r="L13">
        <v>12.562405665853943</v>
      </c>
      <c r="M13" s="4">
        <v>1768195522.5591199</v>
      </c>
      <c r="N13">
        <v>6.2688622147107509</v>
      </c>
      <c r="O13">
        <v>1288.5067776254539</v>
      </c>
      <c r="P13">
        <v>6.8723286566293504</v>
      </c>
      <c r="Q13" s="7">
        <v>53.9</v>
      </c>
      <c r="R13" s="6">
        <v>44.619748736019609</v>
      </c>
      <c r="S13">
        <v>34016840</v>
      </c>
      <c r="T13">
        <v>13247533</v>
      </c>
      <c r="U13" s="7">
        <v>405.27</v>
      </c>
      <c r="V13" s="6">
        <v>-1.26694679260254</v>
      </c>
      <c r="W13">
        <v>-0.61278384923934903</v>
      </c>
      <c r="X13">
        <v>-1.09122586250305</v>
      </c>
      <c r="Y13">
        <v>-0.75043094158172596</v>
      </c>
      <c r="Z13" s="7">
        <v>-1.0431039333343499</v>
      </c>
      <c r="AA13" s="6">
        <v>0.71969310879076898</v>
      </c>
      <c r="AB13">
        <v>30.579000000000001</v>
      </c>
      <c r="AC13">
        <v>0.76700000000000002</v>
      </c>
      <c r="AD13" s="7">
        <v>5.87</v>
      </c>
    </row>
    <row r="14" spans="1:30" x14ac:dyDescent="0.3">
      <c r="A14" s="1" t="s">
        <v>0</v>
      </c>
      <c r="B14" s="2">
        <v>2019</v>
      </c>
      <c r="C14" s="4">
        <v>88</v>
      </c>
      <c r="D14" s="3">
        <v>3269</v>
      </c>
      <c r="E14" s="1">
        <v>59</v>
      </c>
      <c r="F14">
        <v>56.26</v>
      </c>
      <c r="G14">
        <v>1.27</v>
      </c>
      <c r="H14" s="7">
        <v>58.5</v>
      </c>
      <c r="I14" s="6">
        <v>18.05</v>
      </c>
      <c r="J14">
        <v>68.3</v>
      </c>
      <c r="K14">
        <v>3197.22</v>
      </c>
      <c r="L14">
        <v>11.392852930770138</v>
      </c>
      <c r="M14" s="4">
        <v>1735589412.9337599</v>
      </c>
      <c r="N14">
        <v>6.5791100676541419</v>
      </c>
      <c r="O14">
        <v>1415.2489855751178</v>
      </c>
      <c r="P14">
        <v>8.8250669680455793</v>
      </c>
      <c r="Q14" s="7">
        <v>53.6</v>
      </c>
      <c r="R14" s="6">
        <v>44.175884786272405</v>
      </c>
      <c r="S14">
        <v>33616924</v>
      </c>
      <c r="T14">
        <v>13871899</v>
      </c>
      <c r="U14" s="7">
        <v>419.25</v>
      </c>
      <c r="V14" s="6">
        <v>-1.3304589986801101</v>
      </c>
      <c r="W14">
        <v>-0.64523077011108398</v>
      </c>
      <c r="X14">
        <v>-1.1853215694427499</v>
      </c>
      <c r="Y14">
        <v>-0.75354605913162198</v>
      </c>
      <c r="Z14" s="7">
        <v>-1.07851421833038</v>
      </c>
      <c r="AA14" s="6">
        <v>0.70799909760206003</v>
      </c>
      <c r="AB14">
        <v>30.852</v>
      </c>
      <c r="AC14">
        <v>0.40699999999999997</v>
      </c>
      <c r="AD14" s="7">
        <v>6.38</v>
      </c>
    </row>
    <row r="15" spans="1:30" x14ac:dyDescent="0.3">
      <c r="A15" s="1" t="s">
        <v>0</v>
      </c>
      <c r="B15" s="2">
        <v>2020</v>
      </c>
      <c r="C15" s="4">
        <v>84</v>
      </c>
      <c r="D15" s="3">
        <v>3269</v>
      </c>
      <c r="E15" s="1">
        <v>59</v>
      </c>
      <c r="F15">
        <v>48.67</v>
      </c>
      <c r="G15">
        <v>-0.12</v>
      </c>
      <c r="H15" s="7">
        <v>59.2</v>
      </c>
      <c r="I15" s="6">
        <v>17.54</v>
      </c>
      <c r="J15">
        <v>70.400000000000006</v>
      </c>
      <c r="K15">
        <v>3183.1</v>
      </c>
      <c r="L15">
        <v>11.043810643928257</v>
      </c>
      <c r="M15" s="4">
        <v>1907154040</v>
      </c>
      <c r="N15">
        <v>-9.0483471798464308</v>
      </c>
      <c r="O15">
        <v>1478.8727856237763</v>
      </c>
      <c r="P15">
        <v>2</v>
      </c>
      <c r="Q15" s="7">
        <v>54</v>
      </c>
      <c r="R15" s="6">
        <v>43.73403098043422</v>
      </c>
      <c r="S15">
        <v>34609780</v>
      </c>
      <c r="T15">
        <v>14857968</v>
      </c>
      <c r="U15" s="7">
        <v>487.22</v>
      </c>
      <c r="V15" s="6">
        <v>-1.5117045640945399</v>
      </c>
      <c r="W15">
        <v>-0.68053287267684903</v>
      </c>
      <c r="X15">
        <v>-1.01391088962555</v>
      </c>
      <c r="Y15">
        <v>-0.62148326635360696</v>
      </c>
      <c r="Z15" s="7">
        <v>-1.1947249174118</v>
      </c>
      <c r="AA15" s="6">
        <v>0.71947282559554004</v>
      </c>
      <c r="AB15">
        <v>31.140999999999998</v>
      </c>
      <c r="AC15">
        <v>1.476</v>
      </c>
      <c r="AD15" s="7">
        <v>6.52</v>
      </c>
    </row>
    <row r="16" spans="1:30" x14ac:dyDescent="0.3">
      <c r="A16" s="1" t="s">
        <v>0</v>
      </c>
      <c r="B16" s="2">
        <v>2021</v>
      </c>
      <c r="C16" s="4">
        <v>110</v>
      </c>
      <c r="D16" s="3">
        <v>3269</v>
      </c>
      <c r="E16" s="1">
        <v>59</v>
      </c>
      <c r="F16">
        <v>49.37</v>
      </c>
      <c r="G16">
        <v>0.76</v>
      </c>
      <c r="H16" s="7">
        <v>62.9</v>
      </c>
      <c r="I16" s="6">
        <v>18.670000000000002</v>
      </c>
      <c r="J16">
        <v>72.5</v>
      </c>
      <c r="K16">
        <v>3064.85</v>
      </c>
      <c r="L16">
        <v>12.123968947113051</v>
      </c>
      <c r="M16" s="4">
        <v>2066606470</v>
      </c>
      <c r="N16">
        <v>-12.016372482917674</v>
      </c>
      <c r="O16">
        <v>1233.2277699735228</v>
      </c>
      <c r="P16">
        <v>7.3</v>
      </c>
      <c r="Q16" s="7">
        <v>55.2</v>
      </c>
      <c r="R16" s="6">
        <v>43.290146628464612</v>
      </c>
      <c r="S16">
        <v>35619332</v>
      </c>
      <c r="T16">
        <v>13889262</v>
      </c>
      <c r="U16" s="7">
        <v>484.24</v>
      </c>
      <c r="V16" s="6">
        <v>-2.0839693546295202</v>
      </c>
      <c r="W16">
        <v>-1.0480768680572501</v>
      </c>
      <c r="X16">
        <v>-1.41239774227142</v>
      </c>
      <c r="Y16">
        <v>-1.1185213327407799</v>
      </c>
      <c r="Z16" s="7">
        <v>-1.4679877758026101</v>
      </c>
      <c r="AA16" s="6">
        <v>0.699278204168444</v>
      </c>
      <c r="AB16">
        <v>31.448</v>
      </c>
      <c r="AC16">
        <v>4.34</v>
      </c>
      <c r="AD16" s="7">
        <v>6.52</v>
      </c>
    </row>
    <row r="17" spans="1:30" x14ac:dyDescent="0.3">
      <c r="A17" s="1" t="s">
        <v>0</v>
      </c>
      <c r="B17" s="2">
        <v>2022</v>
      </c>
      <c r="C17" s="4">
        <v>181</v>
      </c>
      <c r="D17" s="3">
        <v>3269</v>
      </c>
      <c r="E17" s="1">
        <v>59</v>
      </c>
      <c r="F17">
        <v>49.9</v>
      </c>
      <c r="G17">
        <v>2.04</v>
      </c>
      <c r="H17" s="7">
        <f>ROUND(((H15-H14)/H14)*H16+H16,1)</f>
        <v>63.7</v>
      </c>
      <c r="I17" s="6">
        <v>19.07</v>
      </c>
      <c r="J17">
        <v>73.7</v>
      </c>
      <c r="K17">
        <f>ROUND(((K15-K14)/K14)*K16+K16,2)</f>
        <v>3051.31</v>
      </c>
      <c r="L17">
        <v>12.332164025644127</v>
      </c>
      <c r="M17" s="4">
        <v>1238500000</v>
      </c>
      <c r="N17">
        <v>4.0374934360085035</v>
      </c>
      <c r="O17">
        <v>1149.0189610705781</v>
      </c>
      <c r="P17">
        <v>31.4</v>
      </c>
      <c r="Q17" s="7">
        <v>49.6</v>
      </c>
      <c r="R17" s="6">
        <f>((R15-R14)/R14)*R16+R16</f>
        <v>42.857152108136994</v>
      </c>
      <c r="S17">
        <v>34922210</v>
      </c>
      <c r="T17">
        <v>14403864</v>
      </c>
      <c r="U17" s="7">
        <v>483.57</v>
      </c>
      <c r="V17" s="6">
        <v>-2.21174263954163</v>
      </c>
      <c r="W17">
        <v>-1.15162312984467</v>
      </c>
      <c r="X17">
        <v>-1.6840410232543901</v>
      </c>
      <c r="Y17">
        <v>-1.23508405685425</v>
      </c>
      <c r="Z17" s="7">
        <v>-1.52855384349823</v>
      </c>
      <c r="AA17" s="6">
        <v>0.70611742695739799</v>
      </c>
      <c r="AB17">
        <v>31.771000000000001</v>
      </c>
      <c r="AC17">
        <v>2.83</v>
      </c>
      <c r="AD17" s="7">
        <v>6.52</v>
      </c>
    </row>
    <row r="18" spans="1:30" ht="15" thickBot="1" x14ac:dyDescent="0.35">
      <c r="A18" s="1" t="s">
        <v>0</v>
      </c>
      <c r="B18" s="2">
        <v>2023</v>
      </c>
      <c r="C18" s="12">
        <v>181</v>
      </c>
      <c r="D18" s="13">
        <v>3269</v>
      </c>
      <c r="E18" s="14">
        <v>59</v>
      </c>
      <c r="F18" s="15">
        <v>58.51</v>
      </c>
      <c r="G18" s="15">
        <v>0</v>
      </c>
      <c r="H18" s="16">
        <f>ROUND(((H16-H15)/H15)*H17+H17,1)</f>
        <v>67.7</v>
      </c>
      <c r="I18" s="17">
        <v>16.829999999999998</v>
      </c>
      <c r="J18" s="15">
        <f>ROUND(((J17-J16)/J16)*J17+J17,1)</f>
        <v>74.900000000000006</v>
      </c>
      <c r="K18" s="15">
        <f>ROUND(((K16-K15)/K15)*K17+K17,2)</f>
        <v>2937.96</v>
      </c>
      <c r="L18" s="15">
        <v>11.32181398540328</v>
      </c>
      <c r="M18" s="12">
        <v>1520172000</v>
      </c>
      <c r="N18" s="15">
        <v>1.0022383428977264</v>
      </c>
      <c r="O18" s="15">
        <v>1187.5670642346081</v>
      </c>
      <c r="P18" s="15">
        <v>20</v>
      </c>
      <c r="Q18" s="16">
        <v>46.5</v>
      </c>
      <c r="R18" s="17">
        <f>((R16-R15)/R15)*R17+R17</f>
        <v>42.422167754664201</v>
      </c>
      <c r="S18" s="15">
        <f>ROUND(((S17-S16)/S16)*S17+S17,1)</f>
        <v>34238731.700000003</v>
      </c>
      <c r="T18" s="15">
        <f>ROUND(((T17-T16)/T16)*T17+T17,2)</f>
        <v>14937532.18</v>
      </c>
      <c r="U18" s="16">
        <v>398.9</v>
      </c>
      <c r="V18" s="17">
        <f>((V17-V16)/V16)*V17+V17</f>
        <v>-2.3473500187032368</v>
      </c>
      <c r="W18" s="15">
        <f>((W17-W16)/W16)*W17+W17</f>
        <v>-1.2653993935116497</v>
      </c>
      <c r="X18" s="15">
        <f>((X17-X16)/X16)*X17+X17</f>
        <v>-2.0079288454843063</v>
      </c>
      <c r="Y18" s="15">
        <f>((Y17-Y16)/Y16)*Y17+Y17</f>
        <v>-1.3637939508562553</v>
      </c>
      <c r="Z18" s="16">
        <f>((Z17-Z16)/Z16)*Z17+Z17</f>
        <v>-1.5916187389201943</v>
      </c>
      <c r="AA18" s="17">
        <v>0.73317887622160705</v>
      </c>
      <c r="AB18" s="15">
        <v>32.112000000000002</v>
      </c>
      <c r="AC18" s="15">
        <v>2.8410000000000002</v>
      </c>
      <c r="AD18" s="16">
        <f>ROUND(((AD17-AD16)/AD16)*AD17+AD17,2)</f>
        <v>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2024-12-08T08:21:11Z</dcterms:created>
  <dcterms:modified xsi:type="dcterms:W3CDTF">2024-12-08T09:58:38Z</dcterms:modified>
</cp:coreProperties>
</file>