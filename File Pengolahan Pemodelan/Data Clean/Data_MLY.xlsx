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S\6 - TINGKAT IV\SKRIPSI - IYA BISA YUK BISA JAN MALES\Coding\"/>
    </mc:Choice>
  </mc:AlternateContent>
  <xr:revisionPtr revIDLastSave="0" documentId="13_ncr:1_{B81B6B7E-F05C-403B-93C8-927A152714FD}" xr6:coauthVersionLast="47" xr6:coauthVersionMax="47" xr10:uidLastSave="{00000000-0000-0000-0000-000000000000}"/>
  <bookViews>
    <workbookView xWindow="3480" yWindow="3528" windowWidth="10116" windowHeight="6000" xr2:uid="{AE87E1D8-56F8-4C8C-B9DF-C69990D4A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8" i="1" l="1"/>
  <c r="Z18" i="1"/>
  <c r="Y18" i="1"/>
  <c r="X18" i="1"/>
  <c r="W18" i="1"/>
  <c r="V18" i="1"/>
  <c r="U18" i="1"/>
  <c r="T18" i="1"/>
  <c r="S18" i="1"/>
  <c r="R18" i="1"/>
  <c r="I18" i="1"/>
  <c r="H18" i="1"/>
  <c r="R17" i="1"/>
  <c r="H17" i="1"/>
</calcChain>
</file>

<file path=xl/sharedStrings.xml><?xml version="1.0" encoding="utf-8"?>
<sst xmlns="http://schemas.openxmlformats.org/spreadsheetml/2006/main" count="47" uniqueCount="31">
  <si>
    <t>Malaysia</t>
  </si>
  <si>
    <t>Country</t>
  </si>
  <si>
    <t>Year</t>
  </si>
  <si>
    <t>Solar</t>
  </si>
  <si>
    <t>Hydropower</t>
  </si>
  <si>
    <t>Bioenergy</t>
  </si>
  <si>
    <t>Share_Electricity</t>
  </si>
  <si>
    <t>RE_Growth</t>
  </si>
  <si>
    <t>RE_Consumption</t>
  </si>
  <si>
    <t>Elec_Demand</t>
  </si>
  <si>
    <t>Elec_Access</t>
  </si>
  <si>
    <t>PKP_EnergyUse</t>
  </si>
  <si>
    <t>ElecShare_Primary</t>
  </si>
  <si>
    <t>FDI</t>
  </si>
  <si>
    <t>GDP_Growth</t>
  </si>
  <si>
    <t>GDP_PKP</t>
  </si>
  <si>
    <t>Inflation</t>
  </si>
  <si>
    <t>IEF</t>
  </si>
  <si>
    <t>Forest_Area</t>
  </si>
  <si>
    <t>CO2</t>
  </si>
  <si>
    <t>N2O</t>
  </si>
  <si>
    <t>Carbon_Intensity</t>
  </si>
  <si>
    <t>Political_Stability</t>
  </si>
  <si>
    <t>Control_Corruption</t>
  </si>
  <si>
    <t>Gov_Effective</t>
  </si>
  <si>
    <t>Regulatory_Quality</t>
  </si>
  <si>
    <t>Rule_Law</t>
  </si>
  <si>
    <t>Pop_Growth</t>
  </si>
  <si>
    <t>Urbanization</t>
  </si>
  <si>
    <t>Unemployment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</si>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</sst>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1" fontId="1" fillId="0" borderId="0" xfId="1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1" applyBorder="1"/>
    <xf numFmtId="0" fontId="1" fillId="0" borderId="5" xfId="1" applyBorder="1"/>
    <xf numFmtId="0" fontId="0" fillId="0" borderId="4" xfId="0" applyBorder="1"/>
    <xf numFmtId="0" fontId="0" fillId="0" borderId="5" xfId="0" applyBorder="1"/>
    <xf numFmtId="0" fontId="1" fillId="0" borderId="6" xfId="1" applyBorder="1"/>
    <xf numFmtId="1" fontId="1" fillId="0" borderId="7" xfId="1" applyNumberFormat="1" applyBorder="1"/>
    <xf numFmtId="0" fontId="1" fillId="0" borderId="7" xfId="1" applyBorder="1"/>
    <xf numFmtId="0" fontId="0" fillId="0" borderId="7" xfId="0" applyBorder="1"/>
    <xf numFmtId="0" fontId="0" fillId="0" borderId="8" xfId="0" applyBorder="1"/>
    <xf numFmtId="0" fontId="0" fillId="0" borderId="6" xfId="0" applyBorder="1"/>
  </cellXfs>
  <cellStyles count="2">
    <cellStyle name="Normal" xfId="0" builtinId="0"/>
    <cellStyle name="Normal 2" xfId="1" xr:uid="{75C4FE3C-03F5-4502-B258-496FD55C0C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3B32-FFE9-46D1-8FD7-A2A23D2A275D}">
  <dimension ref="A1:AD18"/>
  <sheetViews>
    <sheetView tabSelected="1" topLeftCell="Z1" workbookViewId="0">
      <selection activeCell="AE8" sqref="AE8"/>
    </sheetView>
  </sheetViews>
  <sheetFormatPr defaultRowHeight="14.4" x14ac:dyDescent="0.3"/>
  <cols>
    <col min="4" max="4" width="11.109375" bestFit="1" customWidth="1"/>
    <col min="5" max="5" width="9.109375" bestFit="1" customWidth="1"/>
    <col min="6" max="6" width="14.6640625" bestFit="1" customWidth="1"/>
    <col min="7" max="7" width="10.21875" bestFit="1" customWidth="1"/>
    <col min="8" max="8" width="15" bestFit="1" customWidth="1"/>
    <col min="9" max="9" width="12.109375" bestFit="1" customWidth="1"/>
    <col min="10" max="10" width="10.77734375" bestFit="1" customWidth="1"/>
    <col min="11" max="11" width="13.6640625" bestFit="1" customWidth="1"/>
    <col min="12" max="12" width="16.21875" bestFit="1" customWidth="1"/>
    <col min="13" max="13" width="12" bestFit="1" customWidth="1"/>
    <col min="14" max="14" width="12.6640625" bestFit="1" customWidth="1"/>
    <col min="15" max="15" width="12" bestFit="1" customWidth="1"/>
    <col min="16" max="16" width="12.6640625" bestFit="1" customWidth="1"/>
    <col min="18" max="19" width="12" bestFit="1" customWidth="1"/>
    <col min="20" max="20" width="11" bestFit="1" customWidth="1"/>
    <col min="21" max="22" width="15" bestFit="1" customWidth="1"/>
    <col min="23" max="23" width="17" bestFit="1" customWidth="1"/>
    <col min="24" max="24" width="12.44140625" bestFit="1" customWidth="1"/>
    <col min="25" max="25" width="16.6640625" bestFit="1" customWidth="1"/>
    <col min="26" max="27" width="12" bestFit="1" customWidth="1"/>
    <col min="28" max="28" width="11.44140625" bestFit="1" customWidth="1"/>
    <col min="29" max="29" width="13.6640625" bestFit="1" customWidth="1"/>
    <col min="30" max="30" width="9.109375" bestFit="1" customWidth="1"/>
  </cols>
  <sheetData>
    <row r="1" spans="1:30" x14ac:dyDescent="0.3">
      <c r="A1" s="4" t="s">
        <v>1</v>
      </c>
      <c r="B1" s="4" t="s">
        <v>2</v>
      </c>
      <c r="C1" s="5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7" t="s">
        <v>8</v>
      </c>
      <c r="I1" s="5" t="s">
        <v>9</v>
      </c>
      <c r="J1" s="6" t="s">
        <v>10</v>
      </c>
      <c r="K1" s="6" t="s">
        <v>11</v>
      </c>
      <c r="L1" s="6" t="s">
        <v>12</v>
      </c>
      <c r="M1" s="5" t="s">
        <v>13</v>
      </c>
      <c r="N1" s="6" t="s">
        <v>14</v>
      </c>
      <c r="O1" s="6" t="s">
        <v>15</v>
      </c>
      <c r="P1" s="6" t="s">
        <v>16</v>
      </c>
      <c r="Q1" s="7" t="s">
        <v>17</v>
      </c>
      <c r="R1" s="5" t="s">
        <v>18</v>
      </c>
      <c r="S1" s="6" t="s">
        <v>19</v>
      </c>
      <c r="T1" s="6" t="s">
        <v>20</v>
      </c>
      <c r="U1" s="7" t="s">
        <v>21</v>
      </c>
      <c r="V1" s="5" t="s">
        <v>22</v>
      </c>
      <c r="W1" s="6" t="s">
        <v>23</v>
      </c>
      <c r="X1" s="6" t="s">
        <v>24</v>
      </c>
      <c r="Y1" s="6" t="s">
        <v>25</v>
      </c>
      <c r="Z1" s="7" t="s">
        <v>26</v>
      </c>
      <c r="AA1" s="5" t="s">
        <v>27</v>
      </c>
      <c r="AB1" s="6" t="s">
        <v>28</v>
      </c>
      <c r="AC1" s="6" t="s">
        <v>29</v>
      </c>
      <c r="AD1" s="7" t="s">
        <v>30</v>
      </c>
    </row>
    <row r="2" spans="1:30" x14ac:dyDescent="0.3">
      <c r="A2" s="1" t="s">
        <v>0</v>
      </c>
      <c r="B2" s="2">
        <v>2007</v>
      </c>
      <c r="C2" s="8">
        <v>7</v>
      </c>
      <c r="D2" s="3">
        <v>2106</v>
      </c>
      <c r="E2" s="1">
        <v>548</v>
      </c>
      <c r="F2">
        <v>6.19</v>
      </c>
      <c r="G2">
        <v>3.46</v>
      </c>
      <c r="H2" s="9">
        <v>2.8</v>
      </c>
      <c r="I2" s="10">
        <v>106.29</v>
      </c>
      <c r="J2">
        <v>98.9</v>
      </c>
      <c r="K2">
        <v>33221.480000000003</v>
      </c>
      <c r="L2">
        <v>12.060307090638402</v>
      </c>
      <c r="M2" s="8">
        <v>9071369834.8385906</v>
      </c>
      <c r="N2">
        <v>6.2987859274094689</v>
      </c>
      <c r="O2">
        <v>7144.0002399818295</v>
      </c>
      <c r="P2">
        <v>2.0273531777956899</v>
      </c>
      <c r="Q2" s="11">
        <v>63.8</v>
      </c>
      <c r="R2" s="10">
        <v>58.349596712829097</v>
      </c>
      <c r="S2">
        <v>175450780</v>
      </c>
      <c r="T2">
        <v>8741017</v>
      </c>
      <c r="U2" s="11">
        <v>662.27</v>
      </c>
      <c r="V2" s="10">
        <v>0.19330716133117701</v>
      </c>
      <c r="W2">
        <v>0.16680128872394601</v>
      </c>
      <c r="X2">
        <v>1.22411561012268</v>
      </c>
      <c r="Y2">
        <v>0.50432491302490201</v>
      </c>
      <c r="Z2" s="11">
        <v>0.36687648296356201</v>
      </c>
      <c r="AA2" s="10">
        <v>2.1760898040312102</v>
      </c>
      <c r="AB2">
        <v>68.36</v>
      </c>
      <c r="AC2">
        <v>3.23</v>
      </c>
      <c r="AD2" s="11">
        <v>8.58</v>
      </c>
    </row>
    <row r="3" spans="1:30" x14ac:dyDescent="0.3">
      <c r="A3" s="1" t="s">
        <v>0</v>
      </c>
      <c r="B3" s="2">
        <v>2008</v>
      </c>
      <c r="C3" s="8">
        <v>9</v>
      </c>
      <c r="D3" s="3">
        <v>2106</v>
      </c>
      <c r="E3" s="1">
        <v>568</v>
      </c>
      <c r="F3">
        <v>7.56</v>
      </c>
      <c r="G3">
        <v>0.83</v>
      </c>
      <c r="H3" s="9">
        <v>3</v>
      </c>
      <c r="I3" s="10">
        <v>113.35</v>
      </c>
      <c r="J3">
        <v>99</v>
      </c>
      <c r="K3">
        <v>33712.129999999997</v>
      </c>
      <c r="L3">
        <v>12.205399841307285</v>
      </c>
      <c r="M3" s="8">
        <v>7572512432.3363504</v>
      </c>
      <c r="N3">
        <v>4.8317698891309675</v>
      </c>
      <c r="O3">
        <v>8343.3033817446012</v>
      </c>
      <c r="P3">
        <v>5.44078221100769</v>
      </c>
      <c r="Q3" s="11">
        <v>63.9</v>
      </c>
      <c r="R3" s="10">
        <v>58.12323847207427</v>
      </c>
      <c r="S3">
        <v>192847060</v>
      </c>
      <c r="T3">
        <v>9359700</v>
      </c>
      <c r="U3" s="11">
        <v>651.05999999999995</v>
      </c>
      <c r="V3" s="10">
        <v>0.108542367815971</v>
      </c>
      <c r="W3">
        <v>-9.0506412088871002E-2</v>
      </c>
      <c r="X3">
        <v>1.05022716522217</v>
      </c>
      <c r="Y3">
        <v>0.28681203722953802</v>
      </c>
      <c r="Z3" s="11">
        <v>0.247283861041069</v>
      </c>
      <c r="AA3" s="10">
        <v>2.0881853201788299</v>
      </c>
      <c r="AB3">
        <v>69.224999999999994</v>
      </c>
      <c r="AC3">
        <v>3.32</v>
      </c>
      <c r="AD3" s="11">
        <v>9.07</v>
      </c>
    </row>
    <row r="4" spans="1:30" x14ac:dyDescent="0.3">
      <c r="A4" s="1" t="s">
        <v>0</v>
      </c>
      <c r="B4" s="2">
        <v>2009</v>
      </c>
      <c r="C4" s="8">
        <v>11</v>
      </c>
      <c r="D4" s="3">
        <v>2108</v>
      </c>
      <c r="E4" s="1">
        <v>668</v>
      </c>
      <c r="F4">
        <v>7.13</v>
      </c>
      <c r="G4">
        <v>5.7</v>
      </c>
      <c r="H4" s="9">
        <v>2.2999999999999998</v>
      </c>
      <c r="I4" s="10">
        <v>116.02</v>
      </c>
      <c r="J4">
        <v>99.3</v>
      </c>
      <c r="K4">
        <v>32003.47</v>
      </c>
      <c r="L4">
        <v>12.85753834228448</v>
      </c>
      <c r="M4" s="8">
        <v>114664434.56228</v>
      </c>
      <c r="N4">
        <v>-1.5135287159871353</v>
      </c>
      <c r="O4">
        <v>7167.8771942337344</v>
      </c>
      <c r="P4">
        <v>0.58330840562370201</v>
      </c>
      <c r="Q4" s="11">
        <v>64.599999999999994</v>
      </c>
      <c r="R4" s="10">
        <v>57.896880231319436</v>
      </c>
      <c r="S4">
        <v>192119070</v>
      </c>
      <c r="T4">
        <v>8142411</v>
      </c>
      <c r="U4" s="11">
        <v>666.61</v>
      </c>
      <c r="V4" s="10">
        <v>-4.1660919785499601E-2</v>
      </c>
      <c r="W4">
        <v>-9.3942709267139393E-2</v>
      </c>
      <c r="X4">
        <v>0.89537030458450295</v>
      </c>
      <c r="Y4">
        <v>0.269758820533752</v>
      </c>
      <c r="Z4" s="11">
        <v>0.37388545274734503</v>
      </c>
      <c r="AA4" s="10">
        <v>1.9789234138259599</v>
      </c>
      <c r="AB4">
        <v>70.075000000000003</v>
      </c>
      <c r="AC4">
        <v>3.66</v>
      </c>
      <c r="AD4" s="11">
        <v>9.56</v>
      </c>
    </row>
    <row r="5" spans="1:30" x14ac:dyDescent="0.3">
      <c r="A5" s="1" t="s">
        <v>0</v>
      </c>
      <c r="B5" s="2">
        <v>2010</v>
      </c>
      <c r="C5" s="8">
        <v>13</v>
      </c>
      <c r="D5" s="3">
        <v>2135</v>
      </c>
      <c r="E5" s="1">
        <v>677</v>
      </c>
      <c r="F5">
        <v>6.09</v>
      </c>
      <c r="G5">
        <v>-1.38</v>
      </c>
      <c r="H5" s="11">
        <v>2</v>
      </c>
      <c r="I5" s="10">
        <v>124.89</v>
      </c>
      <c r="J5">
        <v>99.5</v>
      </c>
      <c r="K5">
        <v>32487.75</v>
      </c>
      <c r="L5">
        <v>13.402360204508184</v>
      </c>
      <c r="M5" s="8">
        <v>10885801851.6194</v>
      </c>
      <c r="N5">
        <v>7.4248473832609676</v>
      </c>
      <c r="O5">
        <v>8880.1458045410927</v>
      </c>
      <c r="P5">
        <v>1.62285235577035</v>
      </c>
      <c r="Q5" s="11">
        <v>64.8</v>
      </c>
      <c r="R5" s="10">
        <v>57.670521990564602</v>
      </c>
      <c r="S5">
        <v>199346100</v>
      </c>
      <c r="T5">
        <v>9634004</v>
      </c>
      <c r="U5" s="11">
        <v>688.98</v>
      </c>
      <c r="V5" s="10">
        <v>0.143352136015892</v>
      </c>
      <c r="W5">
        <v>5.7084448635578197E-2</v>
      </c>
      <c r="X5">
        <v>1.0464783906936601</v>
      </c>
      <c r="Y5">
        <v>0.61124998331069902</v>
      </c>
      <c r="Z5" s="11">
        <v>0.39389044046402</v>
      </c>
      <c r="AA5" s="10">
        <v>1.7582874032315099</v>
      </c>
      <c r="AB5">
        <v>70.912000000000006</v>
      </c>
      <c r="AC5">
        <v>3.39</v>
      </c>
      <c r="AD5" s="11">
        <v>9.6999999999999993</v>
      </c>
    </row>
    <row r="6" spans="1:30" x14ac:dyDescent="0.3">
      <c r="A6" s="1" t="s">
        <v>0</v>
      </c>
      <c r="B6" s="2">
        <v>2011</v>
      </c>
      <c r="C6" s="8">
        <v>14</v>
      </c>
      <c r="D6" s="3">
        <v>3121</v>
      </c>
      <c r="E6" s="1">
        <v>774</v>
      </c>
      <c r="F6">
        <v>7.55</v>
      </c>
      <c r="G6">
        <v>39.26</v>
      </c>
      <c r="H6" s="11">
        <v>2.2000000000000002</v>
      </c>
      <c r="I6" s="10">
        <v>127.43</v>
      </c>
      <c r="J6">
        <v>99.5</v>
      </c>
      <c r="K6">
        <v>32524.59</v>
      </c>
      <c r="L6">
        <v>13.387062789717655</v>
      </c>
      <c r="M6" s="8">
        <v>15119439203.9543</v>
      </c>
      <c r="N6">
        <v>5.2939128341400306</v>
      </c>
      <c r="O6">
        <v>10209.371944502675</v>
      </c>
      <c r="P6">
        <v>3.1744709215131</v>
      </c>
      <c r="Q6" s="11">
        <v>66.3</v>
      </c>
      <c r="R6" s="10">
        <v>57.984976411505109</v>
      </c>
      <c r="S6">
        <v>203452350</v>
      </c>
      <c r="T6">
        <v>9834987</v>
      </c>
      <c r="U6" s="11">
        <v>685.68</v>
      </c>
      <c r="V6" s="10">
        <v>7.7409766614437103E-2</v>
      </c>
      <c r="W6">
        <v>2.2571574896574E-2</v>
      </c>
      <c r="X6">
        <v>0.98675674200057995</v>
      </c>
      <c r="Y6">
        <v>0.54713457822799705</v>
      </c>
      <c r="Z6" s="11">
        <v>0.40263152122497597</v>
      </c>
      <c r="AA6" s="10">
        <v>1.61104342924472</v>
      </c>
      <c r="AB6">
        <v>71.608999999999995</v>
      </c>
      <c r="AC6">
        <v>3.05</v>
      </c>
      <c r="AD6" s="11">
        <v>9.81</v>
      </c>
    </row>
    <row r="7" spans="1:30" x14ac:dyDescent="0.3">
      <c r="A7" s="1" t="s">
        <v>0</v>
      </c>
      <c r="B7" s="2">
        <v>2012</v>
      </c>
      <c r="C7" s="8">
        <v>25</v>
      </c>
      <c r="D7" s="3">
        <v>3449</v>
      </c>
      <c r="E7" s="1">
        <v>768</v>
      </c>
      <c r="F7">
        <v>8.02</v>
      </c>
      <c r="G7">
        <v>8.8800000000000008</v>
      </c>
      <c r="H7" s="11">
        <v>2.5</v>
      </c>
      <c r="I7" s="10">
        <v>134.16999999999999</v>
      </c>
      <c r="J7">
        <v>99.8</v>
      </c>
      <c r="K7">
        <v>35010.120000000003</v>
      </c>
      <c r="L7">
        <v>12.912048227578701</v>
      </c>
      <c r="M7" s="8">
        <v>8895774250.7040195</v>
      </c>
      <c r="N7">
        <v>5.4734541925385258</v>
      </c>
      <c r="O7">
        <v>10601.51045589664</v>
      </c>
      <c r="P7">
        <v>1.6635710247920601</v>
      </c>
      <c r="Q7" s="11">
        <v>66.400000000000006</v>
      </c>
      <c r="R7" s="10">
        <v>58.299430832445594</v>
      </c>
      <c r="S7">
        <v>212989970</v>
      </c>
      <c r="T7">
        <v>10002334</v>
      </c>
      <c r="U7" s="11">
        <v>682.73</v>
      </c>
      <c r="V7" s="10">
        <v>-5.2124024368822601E-3</v>
      </c>
      <c r="W7">
        <v>0.213312953710556</v>
      </c>
      <c r="X7">
        <v>0.90633815526962302</v>
      </c>
      <c r="Y7">
        <v>0.477169960737228</v>
      </c>
      <c r="Z7" s="11">
        <v>0.37976944446563698</v>
      </c>
      <c r="AA7" s="10">
        <v>1.6181313184672901</v>
      </c>
      <c r="AB7">
        <v>72.275000000000006</v>
      </c>
      <c r="AC7">
        <v>3.1</v>
      </c>
      <c r="AD7" s="11">
        <v>9.92</v>
      </c>
    </row>
    <row r="8" spans="1:30" x14ac:dyDescent="0.3">
      <c r="A8" s="1" t="s">
        <v>0</v>
      </c>
      <c r="B8" s="2">
        <v>2013</v>
      </c>
      <c r="C8" s="8">
        <v>97</v>
      </c>
      <c r="D8" s="3">
        <v>4535</v>
      </c>
      <c r="E8" s="1">
        <v>1045</v>
      </c>
      <c r="F8">
        <v>9.25</v>
      </c>
      <c r="G8">
        <v>33.86</v>
      </c>
      <c r="H8" s="11">
        <v>2.8</v>
      </c>
      <c r="I8" s="10">
        <v>141.16</v>
      </c>
      <c r="J8">
        <v>99.6</v>
      </c>
      <c r="K8">
        <v>36062.550000000003</v>
      </c>
      <c r="L8">
        <v>12.971823987338277</v>
      </c>
      <c r="M8" s="8">
        <v>11296279513.9209</v>
      </c>
      <c r="N8">
        <v>4.6937225255789343</v>
      </c>
      <c r="O8">
        <v>10727.669021554222</v>
      </c>
      <c r="P8">
        <v>2.10501231233612</v>
      </c>
      <c r="Q8" s="11">
        <v>66.099999999999994</v>
      </c>
      <c r="R8" s="10">
        <v>58.613885253386087</v>
      </c>
      <c r="S8">
        <v>241671090</v>
      </c>
      <c r="T8">
        <v>9372988</v>
      </c>
      <c r="U8" s="11">
        <v>666.03</v>
      </c>
      <c r="V8" s="10">
        <v>5.1791593432426501E-2</v>
      </c>
      <c r="W8">
        <v>0.33329123258590698</v>
      </c>
      <c r="X8">
        <v>0.99309360980987504</v>
      </c>
      <c r="Y8">
        <v>0.56780821084976196</v>
      </c>
      <c r="Z8" s="11">
        <v>0.341402947902679</v>
      </c>
      <c r="AA8" s="10">
        <v>1.5874398043597699</v>
      </c>
      <c r="AB8">
        <v>72.930000000000007</v>
      </c>
      <c r="AC8">
        <v>3.16</v>
      </c>
      <c r="AD8" s="11">
        <v>10.029999999999999</v>
      </c>
    </row>
    <row r="9" spans="1:30" x14ac:dyDescent="0.3">
      <c r="A9" s="1" t="s">
        <v>0</v>
      </c>
      <c r="B9" s="2">
        <v>2014</v>
      </c>
      <c r="C9" s="8">
        <v>205</v>
      </c>
      <c r="D9" s="3">
        <v>4761</v>
      </c>
      <c r="E9" s="1">
        <v>1431</v>
      </c>
      <c r="F9">
        <v>9.6999999999999993</v>
      </c>
      <c r="G9">
        <v>12.68</v>
      </c>
      <c r="H9" s="11">
        <v>3</v>
      </c>
      <c r="I9" s="10">
        <v>147.47999999999999</v>
      </c>
      <c r="J9">
        <v>99.7</v>
      </c>
      <c r="K9">
        <v>35862.22</v>
      </c>
      <c r="L9">
        <v>13.435433027823837</v>
      </c>
      <c r="M9" s="8">
        <v>10619431582.9781</v>
      </c>
      <c r="N9">
        <v>6.0067219455820293</v>
      </c>
      <c r="O9">
        <v>11045.580120759947</v>
      </c>
      <c r="P9">
        <v>3.14299050879095</v>
      </c>
      <c r="Q9" s="11">
        <v>69.599999999999994</v>
      </c>
      <c r="R9" s="10">
        <v>58.928339674326594</v>
      </c>
      <c r="S9">
        <v>245049710</v>
      </c>
      <c r="T9">
        <v>9803516</v>
      </c>
      <c r="U9" s="11">
        <v>662.3</v>
      </c>
      <c r="V9" s="10">
        <v>0.26661914587020902</v>
      </c>
      <c r="W9">
        <v>0.39668908715248102</v>
      </c>
      <c r="X9">
        <v>1.14677739143372</v>
      </c>
      <c r="Y9">
        <v>0.79923129081726096</v>
      </c>
      <c r="Z9" s="11">
        <v>0.52419072389602706</v>
      </c>
      <c r="AA9" s="10">
        <v>1.5530182714316101</v>
      </c>
      <c r="AB9">
        <v>73.576999999999998</v>
      </c>
      <c r="AC9">
        <v>2.88</v>
      </c>
      <c r="AD9" s="11">
        <v>10.14</v>
      </c>
    </row>
    <row r="10" spans="1:30" x14ac:dyDescent="0.3">
      <c r="A10" s="1" t="s">
        <v>0</v>
      </c>
      <c r="B10" s="2">
        <v>2015</v>
      </c>
      <c r="C10" s="8">
        <v>266</v>
      </c>
      <c r="D10" s="3">
        <v>5742</v>
      </c>
      <c r="E10" s="1">
        <v>1555</v>
      </c>
      <c r="F10">
        <v>9.9499999999999993</v>
      </c>
      <c r="G10">
        <v>18.23</v>
      </c>
      <c r="H10" s="11">
        <v>3.4</v>
      </c>
      <c r="I10" s="10">
        <v>150.12</v>
      </c>
      <c r="J10">
        <v>99.9</v>
      </c>
      <c r="K10">
        <v>35874.36</v>
      </c>
      <c r="L10">
        <v>13.467974196326837</v>
      </c>
      <c r="M10" s="8">
        <v>9857162111.8232899</v>
      </c>
      <c r="N10">
        <v>5.091532421550113</v>
      </c>
      <c r="O10">
        <v>9699.6004634273631</v>
      </c>
      <c r="P10">
        <v>2.1043898023835901</v>
      </c>
      <c r="Q10" s="11">
        <v>70.8</v>
      </c>
      <c r="R10" s="10">
        <v>59.24279409526708</v>
      </c>
      <c r="S10">
        <v>235505740</v>
      </c>
      <c r="T10">
        <v>9514686</v>
      </c>
      <c r="U10" s="11">
        <v>669.18</v>
      </c>
      <c r="V10" s="10">
        <v>0.25394731760025002</v>
      </c>
      <c r="W10">
        <v>0.18179413676261899</v>
      </c>
      <c r="X10">
        <v>0.91693377494812001</v>
      </c>
      <c r="Y10">
        <v>0.70477509498596203</v>
      </c>
      <c r="Z10" s="11">
        <v>0.40231487154960599</v>
      </c>
      <c r="AA10" s="10">
        <v>1.4994097236156401</v>
      </c>
      <c r="AB10">
        <v>74.212999999999994</v>
      </c>
      <c r="AC10">
        <v>3.1</v>
      </c>
      <c r="AD10" s="11">
        <v>10.25</v>
      </c>
    </row>
    <row r="11" spans="1:30" x14ac:dyDescent="0.3">
      <c r="A11" s="1" t="s">
        <v>0</v>
      </c>
      <c r="B11" s="2">
        <v>2016</v>
      </c>
      <c r="C11" s="8">
        <v>344</v>
      </c>
      <c r="D11" s="3">
        <v>6121</v>
      </c>
      <c r="E11" s="1">
        <v>1526</v>
      </c>
      <c r="F11">
        <v>13.46</v>
      </c>
      <c r="G11">
        <v>5.67</v>
      </c>
      <c r="H11" s="11">
        <v>4.4000000000000004</v>
      </c>
      <c r="I11" s="10">
        <v>155.99</v>
      </c>
      <c r="J11">
        <v>99.9</v>
      </c>
      <c r="K11">
        <v>37184.79</v>
      </c>
      <c r="L11">
        <v>13.362620489635759</v>
      </c>
      <c r="M11" s="8">
        <v>13470089920.806999</v>
      </c>
      <c r="N11">
        <v>4.4497813976154106</v>
      </c>
      <c r="O11">
        <v>9555.6695933655883</v>
      </c>
      <c r="P11">
        <v>2.0905665952574202</v>
      </c>
      <c r="Q11" s="11">
        <v>71.5</v>
      </c>
      <c r="R11" s="10">
        <v>58.78752092527774</v>
      </c>
      <c r="S11">
        <v>236817360</v>
      </c>
      <c r="T11">
        <v>9367972</v>
      </c>
      <c r="U11" s="11">
        <v>649.28</v>
      </c>
      <c r="V11" s="10">
        <v>0.12948593497276301</v>
      </c>
      <c r="W11">
        <v>2.7578534558415399E-2</v>
      </c>
      <c r="X11">
        <v>0.81764292716980003</v>
      </c>
      <c r="Y11">
        <v>0.66399538516998302</v>
      </c>
      <c r="Z11" s="11">
        <v>0.38782390952110302</v>
      </c>
      <c r="AA11" s="10">
        <v>1.4620698661924001</v>
      </c>
      <c r="AB11">
        <v>74.84</v>
      </c>
      <c r="AC11">
        <v>3.44</v>
      </c>
      <c r="AD11" s="11">
        <v>10.37</v>
      </c>
    </row>
    <row r="12" spans="1:30" x14ac:dyDescent="0.3">
      <c r="A12" s="1" t="s">
        <v>0</v>
      </c>
      <c r="B12" s="2">
        <v>2017</v>
      </c>
      <c r="C12" s="8">
        <v>394</v>
      </c>
      <c r="D12" s="3">
        <v>6145</v>
      </c>
      <c r="E12" s="1">
        <v>800</v>
      </c>
      <c r="F12">
        <v>17.39</v>
      </c>
      <c r="G12">
        <v>-8.17</v>
      </c>
      <c r="H12" s="11">
        <v>5.2</v>
      </c>
      <c r="I12" s="10">
        <v>159.52000000000001</v>
      </c>
      <c r="J12">
        <v>100</v>
      </c>
      <c r="K12">
        <v>37168.01</v>
      </c>
      <c r="L12">
        <v>13.516424340333872</v>
      </c>
      <c r="M12" s="8">
        <v>9368469822.6614609</v>
      </c>
      <c r="N12">
        <v>5.8127224098332846</v>
      </c>
      <c r="O12">
        <v>9979.7044728237051</v>
      </c>
      <c r="P12">
        <v>3.8712011577423699</v>
      </c>
      <c r="Q12" s="11">
        <v>73.8</v>
      </c>
      <c r="R12" s="10">
        <v>58.634880535687103</v>
      </c>
      <c r="S12">
        <v>244105580</v>
      </c>
      <c r="T12">
        <v>9187490</v>
      </c>
      <c r="U12" s="11">
        <v>620.58000000000004</v>
      </c>
      <c r="V12" s="10">
        <v>0.111208952963352</v>
      </c>
      <c r="W12">
        <v>-5.9014647267758803E-3</v>
      </c>
      <c r="X12">
        <v>0.77729272842407204</v>
      </c>
      <c r="Y12">
        <v>0.67127436399459794</v>
      </c>
      <c r="Z12" s="11">
        <v>0.386965662240982</v>
      </c>
      <c r="AA12" s="10">
        <v>1.41536933264598</v>
      </c>
      <c r="AB12">
        <v>75.447000000000003</v>
      </c>
      <c r="AC12">
        <v>3.41</v>
      </c>
      <c r="AD12" s="11">
        <v>10.46</v>
      </c>
    </row>
    <row r="13" spans="1:30" x14ac:dyDescent="0.3">
      <c r="A13" s="1" t="s">
        <v>0</v>
      </c>
      <c r="B13" s="2">
        <v>2018</v>
      </c>
      <c r="C13" s="8">
        <v>545</v>
      </c>
      <c r="D13" s="3">
        <v>6165</v>
      </c>
      <c r="E13" s="1">
        <v>810</v>
      </c>
      <c r="F13">
        <v>16.600000000000001</v>
      </c>
      <c r="G13">
        <v>2.48</v>
      </c>
      <c r="H13" s="11">
        <v>5.3</v>
      </c>
      <c r="I13" s="10">
        <v>169.09</v>
      </c>
      <c r="J13">
        <v>100</v>
      </c>
      <c r="K13">
        <v>37333.42</v>
      </c>
      <c r="L13">
        <v>14.102415714545547</v>
      </c>
      <c r="M13" s="8">
        <v>8304480741.6526699</v>
      </c>
      <c r="N13">
        <v>4.8430869763488147</v>
      </c>
      <c r="O13">
        <v>11073.97897046911</v>
      </c>
      <c r="P13">
        <v>0.88470916057123505</v>
      </c>
      <c r="Q13" s="11">
        <v>74.5</v>
      </c>
      <c r="R13" s="10">
        <v>58.482240146096487</v>
      </c>
      <c r="S13">
        <v>262207180</v>
      </c>
      <c r="T13">
        <v>8590777</v>
      </c>
      <c r="U13" s="11">
        <v>630.32000000000005</v>
      </c>
      <c r="V13" s="10">
        <v>0.247989401221275</v>
      </c>
      <c r="W13">
        <v>0.30033087730407698</v>
      </c>
      <c r="X13">
        <v>1.0538425445556601</v>
      </c>
      <c r="Y13">
        <v>0.57590740919113204</v>
      </c>
      <c r="Z13" s="11">
        <v>0.52912813425064098</v>
      </c>
      <c r="AA13" s="10">
        <v>1.31563682048248</v>
      </c>
      <c r="AB13">
        <v>76.036000000000001</v>
      </c>
      <c r="AC13">
        <v>3.3</v>
      </c>
      <c r="AD13" s="11">
        <v>10.55</v>
      </c>
    </row>
    <row r="14" spans="1:30" x14ac:dyDescent="0.3">
      <c r="A14" s="1" t="s">
        <v>0</v>
      </c>
      <c r="B14" s="2">
        <v>2019</v>
      </c>
      <c r="C14" s="8">
        <v>894</v>
      </c>
      <c r="D14" s="3">
        <v>6185</v>
      </c>
      <c r="E14" s="1">
        <v>883</v>
      </c>
      <c r="F14">
        <v>16.100000000000001</v>
      </c>
      <c r="G14">
        <v>5.86</v>
      </c>
      <c r="H14" s="11">
        <v>5.7</v>
      </c>
      <c r="I14" s="10">
        <v>176.84</v>
      </c>
      <c r="J14">
        <v>100</v>
      </c>
      <c r="K14">
        <v>37824.06</v>
      </c>
      <c r="L14">
        <v>14.386111961830462</v>
      </c>
      <c r="M14" s="8">
        <v>9154921685.0393391</v>
      </c>
      <c r="N14">
        <v>4.4131874212958593</v>
      </c>
      <c r="O14">
        <v>11132.102742941752</v>
      </c>
      <c r="P14">
        <v>0.66289186576432602</v>
      </c>
      <c r="Q14" s="11">
        <v>74</v>
      </c>
      <c r="R14" s="10">
        <v>58.329599756505857</v>
      </c>
      <c r="S14">
        <v>267494290</v>
      </c>
      <c r="T14">
        <v>8065553</v>
      </c>
      <c r="U14" s="11">
        <v>626.27</v>
      </c>
      <c r="V14" s="10">
        <v>0.14606639742851299</v>
      </c>
      <c r="W14">
        <v>0.233307585120201</v>
      </c>
      <c r="X14">
        <v>0.96782171726226796</v>
      </c>
      <c r="Y14">
        <v>0.54757237434387196</v>
      </c>
      <c r="Z14" s="11">
        <v>0.491362243890762</v>
      </c>
      <c r="AA14" s="10">
        <v>1.24151463105699</v>
      </c>
      <c r="AB14">
        <v>76.606999999999999</v>
      </c>
      <c r="AC14">
        <v>3.26</v>
      </c>
      <c r="AD14" s="11">
        <v>10.64</v>
      </c>
    </row>
    <row r="15" spans="1:30" x14ac:dyDescent="0.3">
      <c r="A15" s="1" t="s">
        <v>0</v>
      </c>
      <c r="B15" s="2">
        <v>2020</v>
      </c>
      <c r="C15" s="8">
        <v>1483</v>
      </c>
      <c r="D15" s="3">
        <v>6197</v>
      </c>
      <c r="E15" s="1">
        <v>891</v>
      </c>
      <c r="F15">
        <v>18.18</v>
      </c>
      <c r="G15">
        <v>7.65</v>
      </c>
      <c r="H15" s="11">
        <v>7</v>
      </c>
      <c r="I15" s="10">
        <v>168.06</v>
      </c>
      <c r="J15">
        <v>100</v>
      </c>
      <c r="K15">
        <v>36037.040000000001</v>
      </c>
      <c r="L15">
        <v>14.176341281980559</v>
      </c>
      <c r="M15" s="8">
        <v>4058769678.6423101</v>
      </c>
      <c r="N15">
        <v>-5.4568465842670122</v>
      </c>
      <c r="O15">
        <v>10164.344431072957</v>
      </c>
      <c r="P15">
        <v>-1.1387021539305</v>
      </c>
      <c r="Q15" s="11">
        <v>74.7</v>
      </c>
      <c r="R15" s="10">
        <v>58.176959366915227</v>
      </c>
      <c r="S15">
        <v>269248670</v>
      </c>
      <c r="T15">
        <v>8418551</v>
      </c>
      <c r="U15" s="11">
        <v>626.97</v>
      </c>
      <c r="V15" s="10">
        <v>0.124463096261024</v>
      </c>
      <c r="W15">
        <v>0.22910985350608801</v>
      </c>
      <c r="X15">
        <v>1.02247262001038</v>
      </c>
      <c r="Y15">
        <v>0.66661345958709695</v>
      </c>
      <c r="Z15" s="11">
        <v>0.57221460342407204</v>
      </c>
      <c r="AA15" s="10">
        <v>1.19985962233223</v>
      </c>
      <c r="AB15">
        <v>77.16</v>
      </c>
      <c r="AC15">
        <v>4.54</v>
      </c>
      <c r="AD15" s="11">
        <v>10.75</v>
      </c>
    </row>
    <row r="16" spans="1:30" x14ac:dyDescent="0.3">
      <c r="A16" s="1" t="s">
        <v>0</v>
      </c>
      <c r="B16" s="2">
        <v>2021</v>
      </c>
      <c r="C16" s="8">
        <v>1787</v>
      </c>
      <c r="D16" s="3">
        <v>6215</v>
      </c>
      <c r="E16" s="1">
        <v>904</v>
      </c>
      <c r="F16">
        <v>19.739999999999998</v>
      </c>
      <c r="G16">
        <v>3.91</v>
      </c>
      <c r="H16" s="11">
        <v>7.5</v>
      </c>
      <c r="I16" s="10">
        <v>173.63</v>
      </c>
      <c r="J16">
        <v>100</v>
      </c>
      <c r="K16">
        <v>37131.54</v>
      </c>
      <c r="L16">
        <v>14.003128384069305</v>
      </c>
      <c r="M16" s="8">
        <v>20245157326.802399</v>
      </c>
      <c r="N16">
        <v>3.2976410083183794</v>
      </c>
      <c r="O16">
        <v>11134.622952818867</v>
      </c>
      <c r="P16">
        <v>2.4771024146544698</v>
      </c>
      <c r="Q16" s="11">
        <v>74.400000000000006</v>
      </c>
      <c r="R16" s="10">
        <v>58.024318977324604</v>
      </c>
      <c r="S16">
        <v>278861220</v>
      </c>
      <c r="T16">
        <v>9189401</v>
      </c>
      <c r="U16" s="11">
        <v>607.09</v>
      </c>
      <c r="V16" s="10">
        <v>5.8753985911607701E-2</v>
      </c>
      <c r="W16">
        <v>0.14678631722927099</v>
      </c>
      <c r="X16">
        <v>0.95354408025741599</v>
      </c>
      <c r="Y16">
        <v>0.71446543931961104</v>
      </c>
      <c r="Z16" s="11">
        <v>0.53297388553619396</v>
      </c>
      <c r="AA16" s="10">
        <v>1.11985399101</v>
      </c>
      <c r="AB16">
        <v>77.695999999999998</v>
      </c>
      <c r="AC16">
        <v>4.6399999999999997</v>
      </c>
      <c r="AD16" s="11">
        <v>10.75</v>
      </c>
    </row>
    <row r="17" spans="1:30" x14ac:dyDescent="0.3">
      <c r="A17" s="1" t="s">
        <v>0</v>
      </c>
      <c r="B17" s="2">
        <v>2022</v>
      </c>
      <c r="C17" s="8">
        <v>1933</v>
      </c>
      <c r="D17" s="3">
        <v>6215</v>
      </c>
      <c r="E17" s="1">
        <v>904</v>
      </c>
      <c r="F17">
        <v>19.100000000000001</v>
      </c>
      <c r="G17">
        <v>1.64</v>
      </c>
      <c r="H17" s="11">
        <f>ROUND(((H15-H14)/H14)*H16+H16,1)</f>
        <v>9.1999999999999993</v>
      </c>
      <c r="I17" s="10">
        <v>180.07</v>
      </c>
      <c r="J17">
        <v>100</v>
      </c>
      <c r="K17">
        <v>39226.550000000003</v>
      </c>
      <c r="L17">
        <v>13.602698155158945</v>
      </c>
      <c r="M17" s="8">
        <v>15027992710.6145</v>
      </c>
      <c r="N17">
        <v>8.6503442237228825</v>
      </c>
      <c r="O17">
        <v>11993.187613299353</v>
      </c>
      <c r="P17">
        <v>3.3786986254992799</v>
      </c>
      <c r="Q17" s="11">
        <v>68.099999999999994</v>
      </c>
      <c r="R17" s="10">
        <f>((R15-R14)/R14)*R16+R16</f>
        <v>57.872477464758049</v>
      </c>
      <c r="S17">
        <v>291071360</v>
      </c>
      <c r="T17">
        <v>9395871</v>
      </c>
      <c r="U17" s="11">
        <v>605.83000000000004</v>
      </c>
      <c r="V17" s="10">
        <v>0.14035816490650199</v>
      </c>
      <c r="W17">
        <v>0.24918389320373499</v>
      </c>
      <c r="X17">
        <v>0.99327057600021396</v>
      </c>
      <c r="Y17">
        <v>0.64400660991668701</v>
      </c>
      <c r="Z17" s="11">
        <v>0.561897993087769</v>
      </c>
      <c r="AA17" s="10">
        <v>1.07936374148797</v>
      </c>
      <c r="AB17">
        <v>78.213999999999999</v>
      </c>
      <c r="AC17">
        <v>3.93</v>
      </c>
      <c r="AD17" s="11">
        <v>10.75</v>
      </c>
    </row>
    <row r="18" spans="1:30" ht="15" thickBot="1" x14ac:dyDescent="0.35">
      <c r="A18" s="1" t="s">
        <v>0</v>
      </c>
      <c r="B18" s="2">
        <v>2023</v>
      </c>
      <c r="C18" s="12">
        <v>1933</v>
      </c>
      <c r="D18" s="13">
        <v>6215</v>
      </c>
      <c r="E18" s="14">
        <v>904</v>
      </c>
      <c r="F18" s="15">
        <v>19.16</v>
      </c>
      <c r="G18" s="15">
        <v>0</v>
      </c>
      <c r="H18" s="16">
        <f>ROUND(((H16-H15)/H15)*H17+H17,1)</f>
        <v>9.9</v>
      </c>
      <c r="I18" s="17">
        <f>ROUND(((I17-I16)/I16)*I17+I17,2)</f>
        <v>186.75</v>
      </c>
      <c r="J18" s="15">
        <v>100</v>
      </c>
      <c r="K18" s="15">
        <v>38920.660000000003</v>
      </c>
      <c r="L18" s="15">
        <v>14.063401008005632</v>
      </c>
      <c r="M18" s="12">
        <v>7918601050.2363596</v>
      </c>
      <c r="N18" s="15">
        <v>3.6802821856334731</v>
      </c>
      <c r="O18" s="15">
        <v>11648.674157414353</v>
      </c>
      <c r="P18" s="15">
        <v>2.4888656012575399</v>
      </c>
      <c r="Q18" s="16">
        <v>67.3</v>
      </c>
      <c r="R18" s="17">
        <f>((R16-R15)/R15)*R17+R17</f>
        <v>57.7206359521915</v>
      </c>
      <c r="S18" s="15">
        <f>ROUND(((S17-S16)/S16)*S17+S17,1)</f>
        <v>303816129.80000001</v>
      </c>
      <c r="T18" s="15">
        <f>ROUND(((T17-T16)/T16)*T17+T17,2)</f>
        <v>9606980.0199999996</v>
      </c>
      <c r="U18" s="16">
        <f>ROUND(((U17-U16)/U16)*U17+U17,2)</f>
        <v>604.57000000000005</v>
      </c>
      <c r="V18" s="17">
        <f>((V17-V16)/V16)*V17+V17</f>
        <v>0.33530345474022905</v>
      </c>
      <c r="W18" s="15">
        <f>((W17-W16)/W16)*W17+W17</f>
        <v>0.4230136282742597</v>
      </c>
      <c r="X18" s="15">
        <f>((X17-X16)/X16)*X17+X17</f>
        <v>1.034652154603551</v>
      </c>
      <c r="Y18" s="15">
        <f>((Y17-Y16)/Y16)*Y17+Y17</f>
        <v>0.58049625746956646</v>
      </c>
      <c r="Z18" s="16">
        <f>((Z17-Z16)/Z16)*Z17+Z17</f>
        <v>0.59239179105074835</v>
      </c>
      <c r="AA18" s="17">
        <v>1.08520231604055</v>
      </c>
      <c r="AB18" s="15">
        <v>78.715999999999994</v>
      </c>
      <c r="AC18" s="15">
        <v>3.855</v>
      </c>
      <c r="AD18" s="16">
        <f>ROUND(((AD17-AD16)/AD16)*AD17+AD17,2)</f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awinv</dc:creator>
  <cp:lastModifiedBy>awinv</cp:lastModifiedBy>
  <dcterms:created xsi:type="dcterms:W3CDTF">2024-12-08T08:21:36Z</dcterms:created>
  <dcterms:modified xsi:type="dcterms:W3CDTF">2024-12-08T09:59:54Z</dcterms:modified>
</cp:coreProperties>
</file>