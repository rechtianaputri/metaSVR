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"/>
    </mc:Choice>
  </mc:AlternateContent>
  <xr:revisionPtr revIDLastSave="0" documentId="13_ncr:1_{7DDFA989-6DB2-424C-88E6-EF338351AB8F}" xr6:coauthVersionLast="47" xr6:coauthVersionMax="47" xr10:uidLastSave="{00000000-0000-0000-0000-000000000000}"/>
  <bookViews>
    <workbookView xWindow="3480" yWindow="3528" windowWidth="10116" windowHeight="6000" xr2:uid="{E23117CB-86B7-45B0-B3D1-37B64D5A6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" i="1" l="1"/>
  <c r="Z18" i="1"/>
  <c r="Y18" i="1"/>
  <c r="X18" i="1"/>
  <c r="W18" i="1"/>
  <c r="V18" i="1"/>
  <c r="U18" i="1"/>
  <c r="T18" i="1"/>
  <c r="S18" i="1"/>
  <c r="I18" i="1"/>
  <c r="H18" i="1"/>
  <c r="R17" i="1"/>
  <c r="R18" i="1" s="1"/>
  <c r="H17" i="1"/>
</calcChain>
</file>

<file path=xl/sharedStrings.xml><?xml version="1.0" encoding="utf-8"?>
<sst xmlns="http://schemas.openxmlformats.org/spreadsheetml/2006/main" count="47" uniqueCount="31">
  <si>
    <t>Indonesia</t>
  </si>
  <si>
    <t>Country</t>
  </si>
  <si>
    <t>Year</t>
  </si>
  <si>
    <t>Solar</t>
  </si>
  <si>
    <t>Hydropower</t>
  </si>
  <si>
    <t>Bioenergy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</si>
  <si>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</si>
  <si>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</si>
  <si>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</si>
  <si>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</si>
  <si>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</si>
  <si>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</si>
  <si>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</si>
  <si>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FDI</t>
  </si>
  <si>
    <t>GDP_Growth</t>
  </si>
  <si>
    <t>GDP_PKP</t>
  </si>
  <si>
    <t>Inflation</t>
  </si>
  <si>
    <t>IEF</t>
  </si>
  <si>
    <t>Forest_Area</t>
  </si>
  <si>
    <t>CO2</t>
  </si>
  <si>
    <t>N2O</t>
  </si>
  <si>
    <t>Carbon_Intensity</t>
  </si>
  <si>
    <t>Political_Stability</t>
  </si>
  <si>
    <t>Control_Corruption</t>
  </si>
  <si>
    <t>Gov_Effective</t>
  </si>
  <si>
    <t>Regulatory_Quality</t>
  </si>
  <si>
    <t>Rule_Law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</si>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</sst>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1" fontId="1" fillId="0" borderId="0" xfId="1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0" fillId="0" borderId="4" xfId="0" applyBorder="1"/>
    <xf numFmtId="0" fontId="0" fillId="0" borderId="5" xfId="0" applyBorder="1"/>
    <xf numFmtId="0" fontId="1" fillId="0" borderId="6" xfId="1" applyBorder="1"/>
    <xf numFmtId="1" fontId="1" fillId="0" borderId="7" xfId="1" applyNumberFormat="1" applyBorder="1"/>
    <xf numFmtId="0" fontId="1" fillId="0" borderId="7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</cellXfs>
  <cellStyles count="2">
    <cellStyle name="Normal" xfId="0" builtinId="0"/>
    <cellStyle name="Normal 2" xfId="1" xr:uid="{7938A123-AE8E-4F6B-AECE-9823BD35BE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BD41-0432-4F0F-A722-068DC436880C}">
  <dimension ref="A1:AD18"/>
  <sheetViews>
    <sheetView tabSelected="1" topLeftCell="I1" workbookViewId="0">
      <selection activeCell="AF1" sqref="AF1"/>
    </sheetView>
  </sheetViews>
  <sheetFormatPr defaultRowHeight="14.4" x14ac:dyDescent="0.3"/>
  <cols>
    <col min="4" max="4" width="11.109375" bestFit="1" customWidth="1"/>
    <col min="5" max="5" width="9.109375" bestFit="1" customWidth="1"/>
    <col min="6" max="6" width="14.6640625" bestFit="1" customWidth="1"/>
    <col min="7" max="7" width="10.21875" bestFit="1" customWidth="1"/>
    <col min="8" max="8" width="15" bestFit="1" customWidth="1"/>
    <col min="9" max="9" width="12.109375" bestFit="1" customWidth="1"/>
    <col min="10" max="10" width="10.77734375" bestFit="1" customWidth="1"/>
    <col min="11" max="11" width="13.6640625" bestFit="1" customWidth="1"/>
    <col min="12" max="12" width="16.21875" bestFit="1" customWidth="1"/>
    <col min="13" max="13" width="12" bestFit="1" customWidth="1"/>
    <col min="14" max="14" width="12.6640625" bestFit="1" customWidth="1"/>
    <col min="18" max="18" width="12" bestFit="1" customWidth="1"/>
    <col min="21" max="22" width="15" bestFit="1" customWidth="1"/>
    <col min="23" max="23" width="17" bestFit="1" customWidth="1"/>
    <col min="24" max="24" width="12.6640625" bestFit="1" customWidth="1"/>
    <col min="27" max="27" width="12" bestFit="1" customWidth="1"/>
    <col min="28" max="28" width="11.44140625" bestFit="1" customWidth="1"/>
    <col min="29" max="29" width="13.6640625" bestFit="1" customWidth="1"/>
  </cols>
  <sheetData>
    <row r="1" spans="1:30" x14ac:dyDescent="0.3">
      <c r="A1" s="4" t="s">
        <v>1</v>
      </c>
      <c r="B1" s="4" t="s">
        <v>2</v>
      </c>
      <c r="C1" s="5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7" t="s">
        <v>8</v>
      </c>
      <c r="I1" s="5" t="s">
        <v>9</v>
      </c>
      <c r="J1" s="6" t="s">
        <v>10</v>
      </c>
      <c r="K1" s="6" t="s">
        <v>11</v>
      </c>
      <c r="L1" s="6" t="s">
        <v>12</v>
      </c>
      <c r="M1" s="5" t="s">
        <v>13</v>
      </c>
      <c r="N1" s="6" t="s">
        <v>14</v>
      </c>
      <c r="O1" s="6" t="s">
        <v>15</v>
      </c>
      <c r="P1" s="6" t="s">
        <v>16</v>
      </c>
      <c r="Q1" s="7" t="s">
        <v>17</v>
      </c>
      <c r="R1" s="5" t="s">
        <v>18</v>
      </c>
      <c r="S1" s="6" t="s">
        <v>19</v>
      </c>
      <c r="T1" s="6" t="s">
        <v>20</v>
      </c>
      <c r="U1" s="7" t="s">
        <v>21</v>
      </c>
      <c r="V1" s="5" t="s">
        <v>22</v>
      </c>
      <c r="W1" s="6" t="s">
        <v>23</v>
      </c>
      <c r="X1" s="6" t="s">
        <v>24</v>
      </c>
      <c r="Y1" s="6" t="s">
        <v>25</v>
      </c>
      <c r="Z1" s="7" t="s">
        <v>26</v>
      </c>
      <c r="AA1" s="5" t="s">
        <v>27</v>
      </c>
      <c r="AB1" s="6" t="s">
        <v>28</v>
      </c>
      <c r="AC1" s="6" t="s">
        <v>29</v>
      </c>
      <c r="AD1" s="7" t="s">
        <v>30</v>
      </c>
    </row>
    <row r="2" spans="1:30" x14ac:dyDescent="0.3">
      <c r="A2" s="1" t="s">
        <v>0</v>
      </c>
      <c r="B2" s="2">
        <v>2007</v>
      </c>
      <c r="C2" s="8">
        <v>0</v>
      </c>
      <c r="D2" s="3">
        <v>3695</v>
      </c>
      <c r="E2" s="1">
        <v>943</v>
      </c>
      <c r="F2">
        <v>16.37</v>
      </c>
      <c r="G2">
        <v>1.92</v>
      </c>
      <c r="H2" s="9">
        <v>40</v>
      </c>
      <c r="I2" s="10">
        <v>148.4</v>
      </c>
      <c r="J2">
        <v>91.1</v>
      </c>
      <c r="K2">
        <v>6581.41</v>
      </c>
      <c r="L2">
        <v>9.6008281037717538</v>
      </c>
      <c r="M2" s="8">
        <v>6928480000</v>
      </c>
      <c r="N2">
        <v>6.3450222276184576</v>
      </c>
      <c r="O2">
        <v>1840.3299266770207</v>
      </c>
      <c r="P2">
        <v>6.4065628132570103</v>
      </c>
      <c r="Q2" s="11">
        <v>53.2</v>
      </c>
      <c r="R2" s="10">
        <v>53.339241839896154</v>
      </c>
      <c r="S2">
        <v>387858050</v>
      </c>
      <c r="T2">
        <v>52020480</v>
      </c>
      <c r="U2" s="11">
        <v>663.14</v>
      </c>
      <c r="V2" s="10">
        <v>-1.19806575775146</v>
      </c>
      <c r="W2">
        <v>-0.63050919771194502</v>
      </c>
      <c r="X2">
        <v>-0.30746361613273598</v>
      </c>
      <c r="Y2">
        <v>-0.38859167695045499</v>
      </c>
      <c r="Z2" s="11">
        <v>-0.69898992776870705</v>
      </c>
      <c r="AA2" s="10">
        <v>1.3118475961456599</v>
      </c>
      <c r="AB2">
        <v>47.534999999999997</v>
      </c>
      <c r="AC2">
        <v>8.06</v>
      </c>
      <c r="AD2" s="11">
        <v>7.02</v>
      </c>
    </row>
    <row r="3" spans="1:30" x14ac:dyDescent="0.3">
      <c r="A3" s="1" t="s">
        <v>0</v>
      </c>
      <c r="B3" s="2">
        <v>2008</v>
      </c>
      <c r="C3" s="8">
        <v>0</v>
      </c>
      <c r="D3" s="3">
        <v>3698</v>
      </c>
      <c r="E3" s="1">
        <v>943</v>
      </c>
      <c r="F3">
        <v>16.899999999999999</v>
      </c>
      <c r="G3">
        <v>1.33</v>
      </c>
      <c r="H3" s="9">
        <v>41.1</v>
      </c>
      <c r="I3" s="10">
        <v>155.9</v>
      </c>
      <c r="J3">
        <v>92.7</v>
      </c>
      <c r="K3">
        <v>6571.27</v>
      </c>
      <c r="L3">
        <v>9.9709633268096756</v>
      </c>
      <c r="M3" s="8">
        <v>9318453649.8266392</v>
      </c>
      <c r="N3">
        <v>6.0137035992283074</v>
      </c>
      <c r="O3">
        <v>2144.3895441928744</v>
      </c>
      <c r="P3">
        <v>10.226664547314799</v>
      </c>
      <c r="Q3" s="11">
        <v>53.2</v>
      </c>
      <c r="R3" s="10">
        <v>53.252915150259462</v>
      </c>
      <c r="S3">
        <v>365718300</v>
      </c>
      <c r="T3">
        <v>53883844</v>
      </c>
      <c r="U3" s="11">
        <v>652.98</v>
      </c>
      <c r="V3" s="10">
        <v>-1.05679154396057</v>
      </c>
      <c r="W3">
        <v>-0.63908606767654397</v>
      </c>
      <c r="X3">
        <v>-0.26271912455558799</v>
      </c>
      <c r="Y3">
        <v>-0.346988946199417</v>
      </c>
      <c r="Z3" s="11">
        <v>-0.67378258705139205</v>
      </c>
      <c r="AA3" s="10">
        <v>1.3021705350789501</v>
      </c>
      <c r="AB3">
        <v>48.335000000000001</v>
      </c>
      <c r="AC3">
        <v>7.2089999999999996</v>
      </c>
      <c r="AD3" s="11">
        <v>7.07</v>
      </c>
    </row>
    <row r="4" spans="1:30" x14ac:dyDescent="0.3">
      <c r="A4" s="1" t="s">
        <v>0</v>
      </c>
      <c r="B4" s="2">
        <v>2009</v>
      </c>
      <c r="C4" s="8">
        <v>0</v>
      </c>
      <c r="D4" s="3">
        <v>3702</v>
      </c>
      <c r="E4" s="1">
        <v>1626</v>
      </c>
      <c r="F4">
        <v>16.45</v>
      </c>
      <c r="G4">
        <v>17.72</v>
      </c>
      <c r="H4" s="9">
        <v>38.200000000000003</v>
      </c>
      <c r="I4" s="10">
        <v>162.87</v>
      </c>
      <c r="J4">
        <v>93.6</v>
      </c>
      <c r="K4">
        <v>6665.19</v>
      </c>
      <c r="L4">
        <v>10.140208444881644</v>
      </c>
      <c r="M4" s="8">
        <v>4877369178.4365101</v>
      </c>
      <c r="N4">
        <v>4.6288711834603191</v>
      </c>
      <c r="O4">
        <v>2239.0952652989554</v>
      </c>
      <c r="P4">
        <v>4.3864155501473103</v>
      </c>
      <c r="Q4" s="11">
        <v>53.4</v>
      </c>
      <c r="R4" s="10">
        <v>53.166588460622762</v>
      </c>
      <c r="S4">
        <v>398942050</v>
      </c>
      <c r="T4">
        <v>56752940</v>
      </c>
      <c r="U4" s="11">
        <v>660.59</v>
      </c>
      <c r="V4" s="10">
        <v>-0.75115364789962802</v>
      </c>
      <c r="W4">
        <v>-0.88964062929153398</v>
      </c>
      <c r="X4">
        <v>-0.33005911111831698</v>
      </c>
      <c r="Y4">
        <v>-0.31469470262527499</v>
      </c>
      <c r="Z4" s="11">
        <v>-0.61193531751632702</v>
      </c>
      <c r="AA4" s="10">
        <v>1.2715320899429201</v>
      </c>
      <c r="AB4">
        <v>49.134</v>
      </c>
      <c r="AC4">
        <v>6.1059999999999999</v>
      </c>
      <c r="AD4" s="11">
        <v>7.31</v>
      </c>
    </row>
    <row r="5" spans="1:30" x14ac:dyDescent="0.3">
      <c r="A5" s="1" t="s">
        <v>0</v>
      </c>
      <c r="B5" s="2">
        <v>2010</v>
      </c>
      <c r="C5" s="8">
        <v>15</v>
      </c>
      <c r="D5" s="3">
        <v>3741</v>
      </c>
      <c r="E5" s="1">
        <v>1911</v>
      </c>
      <c r="F5">
        <v>19.5</v>
      </c>
      <c r="G5">
        <v>2.2999999999999998</v>
      </c>
      <c r="H5" s="11">
        <v>36</v>
      </c>
      <c r="I5" s="10">
        <v>177.56</v>
      </c>
      <c r="J5">
        <v>94.2</v>
      </c>
      <c r="K5">
        <v>7123.85</v>
      </c>
      <c r="L5">
        <v>10.214401178142241</v>
      </c>
      <c r="M5" s="8">
        <v>15292009410.509899</v>
      </c>
      <c r="N5">
        <v>6.2238541798264038</v>
      </c>
      <c r="O5">
        <v>3094.4430786640341</v>
      </c>
      <c r="P5">
        <v>5.1342040076792799</v>
      </c>
      <c r="Q5" s="11">
        <v>55.5</v>
      </c>
      <c r="R5" s="10">
        <v>53.08026177098607</v>
      </c>
      <c r="S5">
        <v>445806080</v>
      </c>
      <c r="T5">
        <v>56059544</v>
      </c>
      <c r="U5" s="11">
        <v>636.85</v>
      </c>
      <c r="V5" s="10">
        <v>-0.85391616821289096</v>
      </c>
      <c r="W5">
        <v>-0.80353450775146495</v>
      </c>
      <c r="X5">
        <v>-0.26694101095199602</v>
      </c>
      <c r="Y5">
        <v>-0.38086059689521801</v>
      </c>
      <c r="Z5" s="11">
        <v>-0.65604490041732799</v>
      </c>
      <c r="AA5" s="10">
        <v>1.2515172914041199</v>
      </c>
      <c r="AB5">
        <v>49.914000000000001</v>
      </c>
      <c r="AC5">
        <v>5.6139999999999999</v>
      </c>
      <c r="AD5" s="11">
        <v>7.41</v>
      </c>
    </row>
    <row r="6" spans="1:30" x14ac:dyDescent="0.3">
      <c r="A6" s="1" t="s">
        <v>0</v>
      </c>
      <c r="B6" s="2">
        <v>2011</v>
      </c>
      <c r="C6" s="8">
        <v>17</v>
      </c>
      <c r="D6" s="3">
        <v>3953</v>
      </c>
      <c r="E6" s="1">
        <v>1950</v>
      </c>
      <c r="F6">
        <v>15.87</v>
      </c>
      <c r="G6">
        <v>4.24</v>
      </c>
      <c r="H6" s="11">
        <v>32.4</v>
      </c>
      <c r="I6" s="10">
        <v>191.88</v>
      </c>
      <c r="J6">
        <v>94.8</v>
      </c>
      <c r="K6">
        <v>7431.7</v>
      </c>
      <c r="L6">
        <v>10.448874682117438</v>
      </c>
      <c r="M6" s="8">
        <v>20564938226.718498</v>
      </c>
      <c r="N6">
        <v>6.1697842077100802</v>
      </c>
      <c r="O6">
        <v>3613.8008884857973</v>
      </c>
      <c r="P6">
        <v>5.3560477898215</v>
      </c>
      <c r="Q6" s="11">
        <v>56</v>
      </c>
      <c r="R6" s="10">
        <v>52.586919226915953</v>
      </c>
      <c r="S6">
        <v>500724540</v>
      </c>
      <c r="T6">
        <v>59024136</v>
      </c>
      <c r="U6" s="11">
        <v>667.4</v>
      </c>
      <c r="V6" s="10">
        <v>-0.77011418342590299</v>
      </c>
      <c r="W6">
        <v>-0.75587069988250699</v>
      </c>
      <c r="X6">
        <v>-0.32159194350242598</v>
      </c>
      <c r="Y6">
        <v>-0.31018862128257801</v>
      </c>
      <c r="Z6" s="11">
        <v>-0.59964394569396995</v>
      </c>
      <c r="AA6" s="10">
        <v>1.2557380886131499</v>
      </c>
      <c r="AB6">
        <v>50.594999999999999</v>
      </c>
      <c r="AC6">
        <v>5.1529999999999996</v>
      </c>
      <c r="AD6" s="11">
        <v>7.51</v>
      </c>
    </row>
    <row r="7" spans="1:30" x14ac:dyDescent="0.3">
      <c r="A7" s="1" t="s">
        <v>0</v>
      </c>
      <c r="B7" s="2">
        <v>2012</v>
      </c>
      <c r="C7" s="8">
        <v>26</v>
      </c>
      <c r="D7" s="3">
        <v>4156</v>
      </c>
      <c r="E7" s="1">
        <v>1970</v>
      </c>
      <c r="F7">
        <v>14.89</v>
      </c>
      <c r="G7">
        <v>4.79</v>
      </c>
      <c r="H7" s="11">
        <v>30.1</v>
      </c>
      <c r="I7" s="10">
        <v>208.96</v>
      </c>
      <c r="J7">
        <v>96</v>
      </c>
      <c r="K7">
        <v>7576.41</v>
      </c>
      <c r="L7">
        <v>11.022317872760169</v>
      </c>
      <c r="M7" s="8">
        <v>21200778607.8727</v>
      </c>
      <c r="N7">
        <v>6.0300506530561506</v>
      </c>
      <c r="O7">
        <v>3668.2120833709691</v>
      </c>
      <c r="P7">
        <v>4.2794999964197498</v>
      </c>
      <c r="Q7" s="11">
        <v>56.4</v>
      </c>
      <c r="R7" s="10">
        <v>52.093576682845821</v>
      </c>
      <c r="S7">
        <v>515954180</v>
      </c>
      <c r="T7">
        <v>61138224</v>
      </c>
      <c r="U7" s="11">
        <v>687.5</v>
      </c>
      <c r="V7" s="10">
        <v>-0.59326279163360596</v>
      </c>
      <c r="W7">
        <v>-0.68910580873489402</v>
      </c>
      <c r="X7">
        <v>-0.33047968149185197</v>
      </c>
      <c r="Y7">
        <v>-0.22185291349887801</v>
      </c>
      <c r="Z7" s="11">
        <v>-0.58356904983520497</v>
      </c>
      <c r="AA7" s="10">
        <v>1.2559414583581101</v>
      </c>
      <c r="AB7">
        <v>51.276000000000003</v>
      </c>
      <c r="AC7">
        <v>4.468</v>
      </c>
      <c r="AD7" s="11">
        <v>7.61</v>
      </c>
    </row>
    <row r="8" spans="1:30" x14ac:dyDescent="0.3">
      <c r="A8" s="1" t="s">
        <v>0</v>
      </c>
      <c r="B8" s="2">
        <v>2013</v>
      </c>
      <c r="C8" s="8">
        <v>38</v>
      </c>
      <c r="D8" s="3">
        <v>5177</v>
      </c>
      <c r="E8" s="1">
        <v>1701</v>
      </c>
      <c r="F8">
        <v>15.76</v>
      </c>
      <c r="G8">
        <v>10.31</v>
      </c>
      <c r="H8" s="11">
        <v>30.6</v>
      </c>
      <c r="I8" s="10">
        <v>225.18</v>
      </c>
      <c r="J8">
        <v>96.5</v>
      </c>
      <c r="K8">
        <v>7145.67</v>
      </c>
      <c r="L8">
        <v>12.442052568473283</v>
      </c>
      <c r="M8" s="8">
        <v>23281742361.530499</v>
      </c>
      <c r="N8">
        <v>5.5572636889100977</v>
      </c>
      <c r="O8">
        <v>3602.8855168062928</v>
      </c>
      <c r="P8">
        <v>6.4125133015641804</v>
      </c>
      <c r="Q8" s="11">
        <v>56.9</v>
      </c>
      <c r="R8" s="10">
        <v>51.60023413877569</v>
      </c>
      <c r="S8">
        <v>489055100</v>
      </c>
      <c r="T8">
        <v>59071744</v>
      </c>
      <c r="U8" s="11">
        <v>682.3</v>
      </c>
      <c r="V8" s="10">
        <v>-0.51926463842392001</v>
      </c>
      <c r="W8">
        <v>-0.660039663314819</v>
      </c>
      <c r="X8">
        <v>-0.24391496181488001</v>
      </c>
      <c r="Y8">
        <v>-0.12326587736606601</v>
      </c>
      <c r="Z8" s="11">
        <v>-0.53319150209426902</v>
      </c>
      <c r="AA8" s="10">
        <v>1.21281780987831</v>
      </c>
      <c r="AB8">
        <v>51.954999999999998</v>
      </c>
      <c r="AC8">
        <v>4.3360000000000003</v>
      </c>
      <c r="AD8" s="11">
        <v>7.7</v>
      </c>
    </row>
    <row r="9" spans="1:30" x14ac:dyDescent="0.3">
      <c r="A9" s="1" t="s">
        <v>0</v>
      </c>
      <c r="B9" s="2">
        <v>2014</v>
      </c>
      <c r="C9" s="8">
        <v>42</v>
      </c>
      <c r="D9" s="3">
        <v>5242</v>
      </c>
      <c r="E9" s="1">
        <v>1729</v>
      </c>
      <c r="F9">
        <v>14.49</v>
      </c>
      <c r="G9">
        <v>1.89</v>
      </c>
      <c r="H9" s="11">
        <v>29.3</v>
      </c>
      <c r="I9" s="10">
        <v>237.55</v>
      </c>
      <c r="J9">
        <v>97</v>
      </c>
      <c r="K9">
        <v>7179.5</v>
      </c>
      <c r="L9">
        <v>12.912589693411611</v>
      </c>
      <c r="M9" s="8">
        <v>25120732059.513401</v>
      </c>
      <c r="N9">
        <v>5.0066684257549952</v>
      </c>
      <c r="O9">
        <v>3476.6248544154746</v>
      </c>
      <c r="P9">
        <v>6.39492540819922</v>
      </c>
      <c r="Q9" s="11">
        <v>58.5</v>
      </c>
      <c r="R9" s="10">
        <v>51.106891594705559</v>
      </c>
      <c r="S9">
        <v>487889950</v>
      </c>
      <c r="T9">
        <v>61895010</v>
      </c>
      <c r="U9" s="11">
        <v>691.59</v>
      </c>
      <c r="V9" s="10">
        <v>-0.41682404279708901</v>
      </c>
      <c r="W9">
        <v>-0.59759914875030495</v>
      </c>
      <c r="X9">
        <v>-6.6042192280292497E-2</v>
      </c>
      <c r="Y9">
        <v>-8.3587504923343693E-3</v>
      </c>
      <c r="Z9" s="11">
        <v>-0.31061783432960499</v>
      </c>
      <c r="AA9" s="10">
        <v>1.15950664180271</v>
      </c>
      <c r="AB9">
        <v>52.634999999999998</v>
      </c>
      <c r="AC9">
        <v>4.0490000000000004</v>
      </c>
      <c r="AD9" s="11">
        <v>7.8</v>
      </c>
    </row>
    <row r="10" spans="1:30" x14ac:dyDescent="0.3">
      <c r="A10" s="1" t="s">
        <v>0</v>
      </c>
      <c r="B10" s="2">
        <v>2015</v>
      </c>
      <c r="C10" s="8">
        <v>79</v>
      </c>
      <c r="D10" s="3">
        <v>5322</v>
      </c>
      <c r="E10" s="1">
        <v>1734</v>
      </c>
      <c r="F10">
        <v>13.79</v>
      </c>
      <c r="G10">
        <v>1.87</v>
      </c>
      <c r="H10" s="11">
        <v>26.6</v>
      </c>
      <c r="I10" s="10">
        <v>243.29</v>
      </c>
      <c r="J10">
        <v>97.5</v>
      </c>
      <c r="K10">
        <v>7202.46</v>
      </c>
      <c r="L10">
        <v>13.036814747334013</v>
      </c>
      <c r="M10" s="8">
        <v>19779127976.9576</v>
      </c>
      <c r="N10">
        <v>4.8763223002212328</v>
      </c>
      <c r="O10">
        <v>3322.5816789544419</v>
      </c>
      <c r="P10">
        <v>6.3631211311561202</v>
      </c>
      <c r="Q10" s="11">
        <v>58.1</v>
      </c>
      <c r="R10" s="10">
        <v>50.613549050635442</v>
      </c>
      <c r="S10">
        <v>539149250</v>
      </c>
      <c r="T10">
        <v>61627420</v>
      </c>
      <c r="U10" s="11">
        <v>696.27</v>
      </c>
      <c r="V10" s="10">
        <v>-0.619956314563751</v>
      </c>
      <c r="W10">
        <v>-0.51854813098907504</v>
      </c>
      <c r="X10">
        <v>-0.32608079910278298</v>
      </c>
      <c r="Y10">
        <v>-0.158227473497391</v>
      </c>
      <c r="Z10" s="11">
        <v>-0.42431113123893699</v>
      </c>
      <c r="AA10" s="10">
        <v>1.1108549322781001</v>
      </c>
      <c r="AB10">
        <v>53.313000000000002</v>
      </c>
      <c r="AC10">
        <v>4.5140000000000002</v>
      </c>
      <c r="AD10" s="11">
        <v>7.91</v>
      </c>
    </row>
    <row r="11" spans="1:30" x14ac:dyDescent="0.3">
      <c r="A11" s="1" t="s">
        <v>0</v>
      </c>
      <c r="B11" s="2">
        <v>2016</v>
      </c>
      <c r="C11" s="8">
        <v>88</v>
      </c>
      <c r="D11" s="3">
        <v>5666</v>
      </c>
      <c r="E11" s="1">
        <v>1775</v>
      </c>
      <c r="F11">
        <v>15.37</v>
      </c>
      <c r="G11">
        <v>5.71</v>
      </c>
      <c r="H11" s="11">
        <v>27.8</v>
      </c>
      <c r="I11" s="10">
        <v>258.24</v>
      </c>
      <c r="J11">
        <v>97.6</v>
      </c>
      <c r="K11">
        <v>7243.88</v>
      </c>
      <c r="L11">
        <v>13.578060006010093</v>
      </c>
      <c r="M11" s="8">
        <v>4541713739.23769</v>
      </c>
      <c r="N11">
        <v>5.0330691828017677</v>
      </c>
      <c r="O11">
        <v>3558.8188517573667</v>
      </c>
      <c r="P11">
        <v>3.5258051568792999</v>
      </c>
      <c r="Q11" s="11">
        <v>59.4</v>
      </c>
      <c r="R11" s="10">
        <v>50.743454526958189</v>
      </c>
      <c r="S11">
        <v>540085600</v>
      </c>
      <c r="T11">
        <v>62316532</v>
      </c>
      <c r="U11" s="11">
        <v>689.03</v>
      </c>
      <c r="V11" s="10">
        <v>-0.379699736833572</v>
      </c>
      <c r="W11">
        <v>-0.46246427297592202</v>
      </c>
      <c r="X11">
        <v>-5.1250230520963697E-2</v>
      </c>
      <c r="Y11">
        <v>-3.1375799328088802E-2</v>
      </c>
      <c r="Z11" s="11">
        <v>-0.33814775943756098</v>
      </c>
      <c r="AA11" s="10">
        <v>1.0589420586891301</v>
      </c>
      <c r="AB11">
        <v>53.988999999999997</v>
      </c>
      <c r="AC11">
        <v>4.3010000000000002</v>
      </c>
      <c r="AD11" s="11">
        <v>7.98</v>
      </c>
    </row>
    <row r="12" spans="1:30" x14ac:dyDescent="0.3">
      <c r="A12" s="1" t="s">
        <v>0</v>
      </c>
      <c r="B12" s="2">
        <v>2017</v>
      </c>
      <c r="C12" s="8">
        <v>97</v>
      </c>
      <c r="D12" s="3">
        <v>5703</v>
      </c>
      <c r="E12" s="1">
        <v>1849</v>
      </c>
      <c r="F12">
        <v>16.239999999999998</v>
      </c>
      <c r="G12">
        <v>4.3600000000000003</v>
      </c>
      <c r="H12" s="11">
        <v>25.2</v>
      </c>
      <c r="I12" s="10">
        <v>266.93</v>
      </c>
      <c r="J12">
        <v>98.1</v>
      </c>
      <c r="K12">
        <v>7439.38</v>
      </c>
      <c r="L12">
        <v>13.508596287054495</v>
      </c>
      <c r="M12" s="8">
        <v>20510310832.446899</v>
      </c>
      <c r="N12">
        <v>5.0697859013491637</v>
      </c>
      <c r="O12">
        <v>3839.785074604913</v>
      </c>
      <c r="P12">
        <v>3.8087980695315702</v>
      </c>
      <c r="Q12" s="11">
        <v>61.9</v>
      </c>
      <c r="R12" s="10">
        <v>50.039333822986606</v>
      </c>
      <c r="S12">
        <v>556944200</v>
      </c>
      <c r="T12">
        <v>68158570</v>
      </c>
      <c r="U12" s="11">
        <v>688.5</v>
      </c>
      <c r="V12" s="10">
        <v>-0.50493890047073398</v>
      </c>
      <c r="W12">
        <v>-0.304816424846649</v>
      </c>
      <c r="X12">
        <v>-2.0042091608047499E-2</v>
      </c>
      <c r="Y12">
        <v>2.7994606643915201E-2</v>
      </c>
      <c r="Z12" s="11">
        <v>-0.35004809498786899</v>
      </c>
      <c r="AA12" s="10">
        <v>1.0064395244609201</v>
      </c>
      <c r="AB12">
        <v>54.658999999999999</v>
      </c>
      <c r="AC12">
        <v>3.7829999999999999</v>
      </c>
      <c r="AD12" s="11">
        <v>8.24</v>
      </c>
    </row>
    <row r="13" spans="1:30" x14ac:dyDescent="0.3">
      <c r="A13" s="1" t="s">
        <v>0</v>
      </c>
      <c r="B13" s="2">
        <v>2018</v>
      </c>
      <c r="C13" s="8">
        <v>65</v>
      </c>
      <c r="D13" s="3">
        <v>5773</v>
      </c>
      <c r="E13" s="1">
        <v>1875</v>
      </c>
      <c r="F13">
        <v>17.05</v>
      </c>
      <c r="G13">
        <v>3.66</v>
      </c>
      <c r="H13" s="11">
        <v>22</v>
      </c>
      <c r="I13" s="10">
        <v>285.29000000000002</v>
      </c>
      <c r="J13">
        <v>98.5</v>
      </c>
      <c r="K13">
        <v>8056.51</v>
      </c>
      <c r="L13">
        <v>13.189535375506011</v>
      </c>
      <c r="M13" s="8">
        <v>18909826043.510502</v>
      </c>
      <c r="N13">
        <v>5.1742915395502393</v>
      </c>
      <c r="O13">
        <v>3902.6616755589976</v>
      </c>
      <c r="P13">
        <v>3.1983464156240999</v>
      </c>
      <c r="Q13" s="11">
        <v>64.2</v>
      </c>
      <c r="R13" s="10">
        <v>49.71681777920756</v>
      </c>
      <c r="S13">
        <v>594101400</v>
      </c>
      <c r="T13">
        <v>71474920</v>
      </c>
      <c r="U13" s="11">
        <v>684.06</v>
      </c>
      <c r="V13" s="10">
        <v>-0.55207741260528598</v>
      </c>
      <c r="W13">
        <v>-0.29945981502532998</v>
      </c>
      <c r="X13">
        <v>0.141279011964798</v>
      </c>
      <c r="Y13">
        <v>-2.1816467866301498E-2</v>
      </c>
      <c r="Z13" s="11">
        <v>-0.313785791397095</v>
      </c>
      <c r="AA13" s="10">
        <v>0.96620643586613897</v>
      </c>
      <c r="AB13">
        <v>55.325000000000003</v>
      </c>
      <c r="AC13">
        <v>4.3869999999999996</v>
      </c>
      <c r="AD13" s="11">
        <v>8.16</v>
      </c>
    </row>
    <row r="14" spans="1:30" x14ac:dyDescent="0.3">
      <c r="A14" s="1" t="s">
        <v>0</v>
      </c>
      <c r="B14" s="2">
        <v>2019</v>
      </c>
      <c r="C14" s="8">
        <v>155</v>
      </c>
      <c r="D14" s="3">
        <v>5976</v>
      </c>
      <c r="E14" s="1">
        <v>1884</v>
      </c>
      <c r="F14">
        <v>16.260000000000002</v>
      </c>
      <c r="G14">
        <v>5.05</v>
      </c>
      <c r="H14" s="11">
        <v>19.8</v>
      </c>
      <c r="I14" s="10">
        <v>297.12</v>
      </c>
      <c r="J14">
        <v>98.9</v>
      </c>
      <c r="K14">
        <v>8530.32</v>
      </c>
      <c r="L14">
        <v>12.847284128316295</v>
      </c>
      <c r="M14" s="8">
        <v>24993551748.0098</v>
      </c>
      <c r="N14">
        <v>5.0192876804628241</v>
      </c>
      <c r="O14">
        <v>4151.2275544079594</v>
      </c>
      <c r="P14">
        <v>3.0305866496948699</v>
      </c>
      <c r="Q14" s="11">
        <v>65.8</v>
      </c>
      <c r="R14" s="10">
        <v>49.394296409250721</v>
      </c>
      <c r="S14">
        <v>650905900</v>
      </c>
      <c r="T14">
        <v>69940504</v>
      </c>
      <c r="U14" s="11">
        <v>693.81</v>
      </c>
      <c r="V14" s="10">
        <v>-0.50215667486190796</v>
      </c>
      <c r="W14">
        <v>-0.47318032383918801</v>
      </c>
      <c r="X14">
        <v>0.13876101374626201</v>
      </c>
      <c r="Y14">
        <v>2.89513897150755E-2</v>
      </c>
      <c r="Z14" s="11">
        <v>-0.34669005870819097</v>
      </c>
      <c r="AA14" s="10">
        <v>0.93768927363529397</v>
      </c>
      <c r="AB14">
        <v>55.984999999999999</v>
      </c>
      <c r="AC14">
        <v>3.59</v>
      </c>
      <c r="AD14" s="11">
        <v>8.36</v>
      </c>
    </row>
    <row r="15" spans="1:30" x14ac:dyDescent="0.3">
      <c r="A15" s="1" t="s">
        <v>0</v>
      </c>
      <c r="B15" s="2">
        <v>2020</v>
      </c>
      <c r="C15" s="8">
        <v>185</v>
      </c>
      <c r="D15" s="3">
        <v>6141</v>
      </c>
      <c r="E15" s="1">
        <v>1896</v>
      </c>
      <c r="F15">
        <v>18.12</v>
      </c>
      <c r="G15">
        <v>2.0099999999999998</v>
      </c>
      <c r="H15" s="11">
        <v>21.9</v>
      </c>
      <c r="I15" s="10">
        <v>293.37</v>
      </c>
      <c r="J15">
        <v>97</v>
      </c>
      <c r="K15">
        <v>7959.13</v>
      </c>
      <c r="L15">
        <v>13.48677065280185</v>
      </c>
      <c r="M15" s="8">
        <v>19175077747.807701</v>
      </c>
      <c r="N15">
        <v>-2.065511829341645</v>
      </c>
      <c r="O15">
        <v>3895.618152002246</v>
      </c>
      <c r="P15">
        <v>1.9209680056684999</v>
      </c>
      <c r="Q15" s="11">
        <v>67.2</v>
      </c>
      <c r="R15" s="10">
        <v>49.071780365471668</v>
      </c>
      <c r="S15">
        <v>605984600</v>
      </c>
      <c r="T15">
        <v>72695800</v>
      </c>
      <c r="U15" s="11">
        <v>685.05</v>
      </c>
      <c r="V15" s="10">
        <v>-0.46232268214225802</v>
      </c>
      <c r="W15">
        <v>-0.454076617956162</v>
      </c>
      <c r="X15">
        <v>0.317363321781158</v>
      </c>
      <c r="Y15">
        <v>0.216156706213951</v>
      </c>
      <c r="Z15" s="11">
        <v>-0.36238136887550398</v>
      </c>
      <c r="AA15" s="10">
        <v>0.84038926812804804</v>
      </c>
      <c r="AB15">
        <v>56.640999999999998</v>
      </c>
      <c r="AC15">
        <v>4.2549999999999999</v>
      </c>
      <c r="AD15" s="11">
        <v>8.56</v>
      </c>
    </row>
    <row r="16" spans="1:30" x14ac:dyDescent="0.3">
      <c r="A16" s="1" t="s">
        <v>0</v>
      </c>
      <c r="B16" s="2">
        <v>2021</v>
      </c>
      <c r="C16" s="8">
        <v>225</v>
      </c>
      <c r="D16" s="3">
        <v>6602</v>
      </c>
      <c r="E16" s="1">
        <v>2270</v>
      </c>
      <c r="F16">
        <v>18.170000000000002</v>
      </c>
      <c r="G16">
        <v>9.8000000000000007</v>
      </c>
      <c r="H16" s="11">
        <v>20.2</v>
      </c>
      <c r="I16" s="10">
        <v>310.33</v>
      </c>
      <c r="J16">
        <v>99.2</v>
      </c>
      <c r="K16">
        <v>8087.77</v>
      </c>
      <c r="L16">
        <v>13.972584178315756</v>
      </c>
      <c r="M16" s="8">
        <v>21213080329.858299</v>
      </c>
      <c r="N16">
        <v>3.7028856282775138</v>
      </c>
      <c r="O16">
        <v>4334.2314540791258</v>
      </c>
      <c r="P16">
        <v>1.5601299052567299</v>
      </c>
      <c r="Q16" s="11">
        <v>66.900000000000006</v>
      </c>
      <c r="R16" s="10">
        <v>48.36194486812056</v>
      </c>
      <c r="S16">
        <v>615923400</v>
      </c>
      <c r="T16">
        <v>73573896</v>
      </c>
      <c r="U16" s="11">
        <v>684.22</v>
      </c>
      <c r="V16" s="10">
        <v>-0.53146719932556197</v>
      </c>
      <c r="W16">
        <v>-0.44907468557357799</v>
      </c>
      <c r="X16">
        <v>0.34736311435699502</v>
      </c>
      <c r="Y16">
        <v>0.28756102919578602</v>
      </c>
      <c r="Z16" s="11">
        <v>-0.253610879182816</v>
      </c>
      <c r="AA16" s="10">
        <v>0.694717688319757</v>
      </c>
      <c r="AB16">
        <v>57.29</v>
      </c>
      <c r="AC16">
        <v>3.827</v>
      </c>
      <c r="AD16" s="11">
        <v>8.56</v>
      </c>
    </row>
    <row r="17" spans="1:30" x14ac:dyDescent="0.3">
      <c r="A17" s="1" t="s">
        <v>0</v>
      </c>
      <c r="B17" s="2">
        <v>2022</v>
      </c>
      <c r="C17" s="8">
        <v>313</v>
      </c>
      <c r="D17" s="3">
        <v>6689</v>
      </c>
      <c r="E17" s="1">
        <v>3087</v>
      </c>
      <c r="F17">
        <v>19.61</v>
      </c>
      <c r="G17">
        <v>9.24</v>
      </c>
      <c r="H17" s="11">
        <f>ROUND(((H15-H14)/H14)*H16+H16,1)</f>
        <v>22.3</v>
      </c>
      <c r="I17" s="10">
        <v>334.51</v>
      </c>
      <c r="J17">
        <v>100</v>
      </c>
      <c r="K17">
        <v>10132.15</v>
      </c>
      <c r="L17">
        <v>11.948757263328343</v>
      </c>
      <c r="M17" s="8">
        <v>24702029705.092602</v>
      </c>
      <c r="N17">
        <v>5.3074193477576443</v>
      </c>
      <c r="O17">
        <v>4787.9123640490261</v>
      </c>
      <c r="P17">
        <v>4.2094638340216504</v>
      </c>
      <c r="Q17" s="11">
        <v>64.400000000000006</v>
      </c>
      <c r="R17" s="10">
        <f>((R15-R14)/R14)*R16+R16</f>
        <v>48.04616947982278</v>
      </c>
      <c r="S17">
        <v>728883260</v>
      </c>
      <c r="T17">
        <v>75589670</v>
      </c>
      <c r="U17" s="11">
        <v>675.93</v>
      </c>
      <c r="V17" s="10">
        <v>-0.43942385911941501</v>
      </c>
      <c r="W17">
        <v>-0.43491065502166698</v>
      </c>
      <c r="X17">
        <v>0.436999291181564</v>
      </c>
      <c r="Y17">
        <v>0.20595996081829099</v>
      </c>
      <c r="Z17" s="11">
        <v>-0.18895465135574299</v>
      </c>
      <c r="AA17" s="10">
        <v>0.63655511514643903</v>
      </c>
      <c r="AB17">
        <v>57.933999999999997</v>
      </c>
      <c r="AC17">
        <v>3.4620000000000002</v>
      </c>
      <c r="AD17" s="11">
        <v>8.56</v>
      </c>
    </row>
    <row r="18" spans="1:30" ht="15" thickBot="1" x14ac:dyDescent="0.35">
      <c r="A18" s="1" t="s">
        <v>0</v>
      </c>
      <c r="B18" s="2">
        <v>2023</v>
      </c>
      <c r="C18" s="12">
        <v>574</v>
      </c>
      <c r="D18" s="13">
        <v>6784</v>
      </c>
      <c r="E18" s="14">
        <v>3183</v>
      </c>
      <c r="F18" s="15">
        <v>18.59</v>
      </c>
      <c r="G18" s="15">
        <v>4.05</v>
      </c>
      <c r="H18" s="16">
        <f>ROUND(((H16-H15)/H15)*H17+H17,1)</f>
        <v>20.6</v>
      </c>
      <c r="I18" s="17">
        <f>ROUND(((I17-I16)/I16)*I17+I17,2)</f>
        <v>360.57</v>
      </c>
      <c r="J18" s="15">
        <v>100</v>
      </c>
      <c r="K18" s="15">
        <v>10116.709999999999</v>
      </c>
      <c r="L18" s="15">
        <v>12.487311814170168</v>
      </c>
      <c r="M18" s="12">
        <v>22085914486.099201</v>
      </c>
      <c r="N18" s="15">
        <v>5.0481057706728762</v>
      </c>
      <c r="O18" s="15">
        <v>4940.5498050115621</v>
      </c>
      <c r="P18" s="15">
        <v>3.6701314237700702</v>
      </c>
      <c r="Q18" s="16">
        <v>63.5</v>
      </c>
      <c r="R18" s="17">
        <f>((R16-R15)/R15)*R17+R17</f>
        <v>47.351169698797456</v>
      </c>
      <c r="S18" s="15">
        <f>ROUND(((S17-S16)/S16)*S17+S17,1)</f>
        <v>862559868.20000005</v>
      </c>
      <c r="T18" s="15">
        <f>ROUND(((T17-T16)/T16)*T17+T17,2)</f>
        <v>77660672.079999998</v>
      </c>
      <c r="U18" s="16">
        <f>ROUND(((U17-U16)/U16)*U17+U17,2)</f>
        <v>667.74</v>
      </c>
      <c r="V18" s="17">
        <f>((V17-V16)/V16)*V17+V17</f>
        <v>-0.36332125144964195</v>
      </c>
      <c r="W18" s="15">
        <f>((W17-W16)/W16)*W17+W17</f>
        <v>-0.42119336477358588</v>
      </c>
      <c r="X18" s="15">
        <f>((X17-X16)/X16)*X17+X17</f>
        <v>0.54976585768667907</v>
      </c>
      <c r="Y18" s="15">
        <f>((Y17-Y16)/Y16)*Y17+Y17</f>
        <v>0.14751479217787408</v>
      </c>
      <c r="Z18" s="16">
        <f>((Z17-Z16)/Z16)*Z17+Z17</f>
        <v>-0.14078205313595074</v>
      </c>
      <c r="AA18" s="17">
        <v>0.73513989541826597</v>
      </c>
      <c r="AB18" s="15">
        <v>58.572000000000003</v>
      </c>
      <c r="AC18" s="15">
        <v>3.4169999999999998</v>
      </c>
      <c r="AD18" s="16">
        <f>ROUND(((AD17-AD16)/AD16)*AD17+AD17,2)</f>
        <v>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2024-12-08T08:19:22Z</dcterms:created>
  <dcterms:modified xsi:type="dcterms:W3CDTF">2024-12-08T09:54:38Z</dcterms:modified>
</cp:coreProperties>
</file>