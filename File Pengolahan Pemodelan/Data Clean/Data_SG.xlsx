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2E2EF671-9E36-4A04-8D0B-E78F2FE1D037}" xr6:coauthVersionLast="47" xr6:coauthVersionMax="47" xr10:uidLastSave="{00000000-0000-0000-0000-000000000000}"/>
  <bookViews>
    <workbookView xWindow="3480" yWindow="3528" windowWidth="10116" windowHeight="6000" xr2:uid="{5DB92060-6081-4E36-9292-D15401507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T18" i="1"/>
  <c r="S18" i="1"/>
  <c r="R17" i="1"/>
  <c r="R18" i="1" s="1"/>
  <c r="H17" i="1"/>
  <c r="H18" i="1" s="1"/>
</calcChain>
</file>

<file path=xl/sharedStrings.xml><?xml version="1.0" encoding="utf-8"?>
<sst xmlns="http://schemas.openxmlformats.org/spreadsheetml/2006/main" count="47" uniqueCount="31">
  <si>
    <t>Singapore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</si>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</sst>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2" borderId="0" xfId="1" applyNumberForma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1" fontId="1" fillId="2" borderId="7" xfId="1" applyNumberFormat="1" applyFill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B3C57651-677B-486D-AEEA-C5D51381E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9ACF-5076-45CB-81F1-4C0E3867DDC5}">
  <dimension ref="A1:AD18"/>
  <sheetViews>
    <sheetView tabSelected="1" topLeftCell="X1" workbookViewId="0">
      <selection activeCell="AC10" sqref="AC10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5" width="12" bestFit="1" customWidth="1"/>
    <col min="16" max="16" width="12.6640625" bestFit="1" customWidth="1"/>
    <col min="18" max="18" width="12" bestFit="1" customWidth="1"/>
    <col min="19" max="19" width="11" bestFit="1" customWidth="1"/>
    <col min="20" max="20" width="10" bestFit="1" customWidth="1"/>
    <col min="21" max="22" width="15" bestFit="1" customWidth="1"/>
    <col min="23" max="23" width="17" bestFit="1" customWidth="1"/>
    <col min="24" max="24" width="12.44140625" bestFit="1" customWidth="1"/>
    <col min="25" max="25" width="16.6640625" bestFit="1" customWidth="1"/>
    <col min="26" max="26" width="12" bestFit="1" customWidth="1"/>
    <col min="27" max="27" width="12.6640625" bestFit="1" customWidth="1"/>
    <col min="28" max="28" width="11.44140625" bestFit="1" customWidth="1"/>
    <col min="29" max="29" width="13.6640625" bestFit="1" customWidth="1"/>
    <col min="30" max="30" width="9.109375" customWidth="1"/>
  </cols>
  <sheetData>
    <row r="1" spans="1:30" x14ac:dyDescent="0.3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5" t="s">
        <v>18</v>
      </c>
      <c r="S1" s="6" t="s">
        <v>19</v>
      </c>
      <c r="T1" s="6" t="s">
        <v>20</v>
      </c>
      <c r="U1" s="7" t="s">
        <v>21</v>
      </c>
      <c r="V1" s="5" t="s">
        <v>22</v>
      </c>
      <c r="W1" s="6" t="s">
        <v>23</v>
      </c>
      <c r="X1" s="6" t="s">
        <v>24</v>
      </c>
      <c r="Y1" s="6" t="s">
        <v>25</v>
      </c>
      <c r="Z1" s="7" t="s">
        <v>26</v>
      </c>
      <c r="AA1" s="5" t="s">
        <v>27</v>
      </c>
      <c r="AB1" s="6" t="s">
        <v>28</v>
      </c>
      <c r="AC1" s="6" t="s">
        <v>29</v>
      </c>
      <c r="AD1" s="7" t="s">
        <v>30</v>
      </c>
    </row>
    <row r="2" spans="1:30" x14ac:dyDescent="0.3">
      <c r="A2" s="1" t="s">
        <v>0</v>
      </c>
      <c r="B2" s="2">
        <v>2007</v>
      </c>
      <c r="C2" s="8">
        <v>0</v>
      </c>
      <c r="D2" s="3">
        <v>0</v>
      </c>
      <c r="E2" s="1">
        <v>117</v>
      </c>
      <c r="F2">
        <v>2.41</v>
      </c>
      <c r="G2">
        <v>0</v>
      </c>
      <c r="H2" s="9">
        <v>0.5</v>
      </c>
      <c r="I2" s="10">
        <v>41.13</v>
      </c>
      <c r="J2">
        <v>100</v>
      </c>
      <c r="K2">
        <v>136257.9</v>
      </c>
      <c r="L2">
        <v>6.4729859460820576</v>
      </c>
      <c r="M2" s="8">
        <v>47337947782.775002</v>
      </c>
      <c r="N2">
        <v>9.0215195126889256</v>
      </c>
      <c r="O2">
        <v>39432.88601988765</v>
      </c>
      <c r="P2">
        <v>2.1048800363321098</v>
      </c>
      <c r="Q2" s="11">
        <v>87.1</v>
      </c>
      <c r="R2" s="10">
        <v>25.21194244604316</v>
      </c>
      <c r="S2">
        <v>30781264</v>
      </c>
      <c r="T2">
        <v>1151690.1000000001</v>
      </c>
      <c r="U2" s="11">
        <v>505.23</v>
      </c>
      <c r="V2" s="10">
        <v>1.17421102523804</v>
      </c>
      <c r="W2">
        <v>2.23121237754822</v>
      </c>
      <c r="X2">
        <v>2.4078605175018302</v>
      </c>
      <c r="Y2">
        <v>1.8088684082031301</v>
      </c>
      <c r="Z2" s="11">
        <v>1.5957239866256701</v>
      </c>
      <c r="AA2" s="10">
        <v>4.1660028636093296</v>
      </c>
      <c r="AB2">
        <v>100</v>
      </c>
      <c r="AC2">
        <v>3.9</v>
      </c>
      <c r="AD2" s="11">
        <v>10.54</v>
      </c>
    </row>
    <row r="3" spans="1:30" x14ac:dyDescent="0.3">
      <c r="A3" s="1" t="s">
        <v>0</v>
      </c>
      <c r="B3" s="2">
        <v>2008</v>
      </c>
      <c r="C3" s="8">
        <v>0</v>
      </c>
      <c r="D3" s="3">
        <v>0</v>
      </c>
      <c r="E3" s="1">
        <v>117</v>
      </c>
      <c r="F3">
        <v>2.5</v>
      </c>
      <c r="G3">
        <v>0.85</v>
      </c>
      <c r="H3" s="9">
        <v>0.5</v>
      </c>
      <c r="I3" s="10">
        <v>41.67</v>
      </c>
      <c r="J3">
        <v>100</v>
      </c>
      <c r="K3">
        <v>140055.12</v>
      </c>
      <c r="L3">
        <v>6.1492828050292196</v>
      </c>
      <c r="M3" s="8">
        <v>13598298537.0175</v>
      </c>
      <c r="N3">
        <v>1.8634834546203507</v>
      </c>
      <c r="O3">
        <v>40008.572048909162</v>
      </c>
      <c r="P3">
        <v>6.6277817735213098</v>
      </c>
      <c r="Q3" s="11">
        <v>87.3</v>
      </c>
      <c r="R3" s="10">
        <v>25.135714285714283</v>
      </c>
      <c r="S3">
        <v>46705010</v>
      </c>
      <c r="T3">
        <v>886348.1</v>
      </c>
      <c r="U3" s="11">
        <v>502.04</v>
      </c>
      <c r="V3" s="10">
        <v>1.34467613697052</v>
      </c>
      <c r="W3">
        <v>2.23161792755127</v>
      </c>
      <c r="X3">
        <v>2.4696598052978498</v>
      </c>
      <c r="Y3">
        <v>1.8687384128570601</v>
      </c>
      <c r="Z3" s="11">
        <v>1.59489285945892</v>
      </c>
      <c r="AA3" s="10">
        <v>5.3215170830262304</v>
      </c>
      <c r="AB3">
        <v>100</v>
      </c>
      <c r="AC3">
        <v>3.96</v>
      </c>
      <c r="AD3" s="11">
        <v>10.8</v>
      </c>
    </row>
    <row r="4" spans="1:30" x14ac:dyDescent="0.3">
      <c r="A4" s="1" t="s">
        <v>0</v>
      </c>
      <c r="B4" s="2">
        <v>2009</v>
      </c>
      <c r="C4" s="8">
        <v>2</v>
      </c>
      <c r="D4" s="3">
        <v>0</v>
      </c>
      <c r="E4" s="1">
        <v>128</v>
      </c>
      <c r="F4">
        <v>2.5099999999999998</v>
      </c>
      <c r="G4">
        <v>10.17</v>
      </c>
      <c r="H4" s="9">
        <v>0.5</v>
      </c>
      <c r="I4" s="10">
        <v>41.8</v>
      </c>
      <c r="J4">
        <v>100</v>
      </c>
      <c r="K4">
        <v>145354.04999999999</v>
      </c>
      <c r="L4">
        <v>5.7391567009459994</v>
      </c>
      <c r="M4" s="8">
        <v>23436064059.750702</v>
      </c>
      <c r="N4">
        <v>0.1279533827780881</v>
      </c>
      <c r="O4">
        <v>38926.805436545284</v>
      </c>
      <c r="P4">
        <v>0.59672025742494395</v>
      </c>
      <c r="Q4" s="11">
        <v>87.1</v>
      </c>
      <c r="R4" s="10">
        <v>25.239571428571434</v>
      </c>
      <c r="S4">
        <v>45250400</v>
      </c>
      <c r="T4">
        <v>730907.3</v>
      </c>
      <c r="U4" s="11">
        <v>501.67</v>
      </c>
      <c r="V4" s="10">
        <v>1.1795911788940401</v>
      </c>
      <c r="W4">
        <v>2.2067203521728498</v>
      </c>
      <c r="X4">
        <v>2.3071529865264901</v>
      </c>
      <c r="Y4">
        <v>1.77574038505554</v>
      </c>
      <c r="Z4" s="11">
        <v>1.55884337425232</v>
      </c>
      <c r="AA4" s="10">
        <v>3.0159499147579001</v>
      </c>
      <c r="AB4">
        <v>100</v>
      </c>
      <c r="AC4">
        <v>5.86</v>
      </c>
      <c r="AD4" s="11">
        <v>10.81</v>
      </c>
    </row>
    <row r="5" spans="1:30" x14ac:dyDescent="0.3">
      <c r="A5" s="1" t="s">
        <v>0</v>
      </c>
      <c r="B5" s="2">
        <v>2010</v>
      </c>
      <c r="C5" s="8">
        <v>3</v>
      </c>
      <c r="D5" s="3">
        <v>0</v>
      </c>
      <c r="E5" s="1">
        <v>128</v>
      </c>
      <c r="F5">
        <v>2.6</v>
      </c>
      <c r="G5">
        <v>0.77</v>
      </c>
      <c r="H5" s="11">
        <v>0.5</v>
      </c>
      <c r="I5" s="10">
        <v>45.36</v>
      </c>
      <c r="J5">
        <v>100</v>
      </c>
      <c r="K5">
        <v>149763.22</v>
      </c>
      <c r="L5">
        <v>5.8656942235326071</v>
      </c>
      <c r="M5" s="8">
        <v>55322434161.874199</v>
      </c>
      <c r="N5">
        <v>14.519749710899404</v>
      </c>
      <c r="O5">
        <v>47236.683084953009</v>
      </c>
      <c r="P5">
        <v>2.82366134885608</v>
      </c>
      <c r="Q5" s="11">
        <v>86.1</v>
      </c>
      <c r="R5" s="10">
        <v>25.271225071225071</v>
      </c>
      <c r="S5">
        <v>43048336</v>
      </c>
      <c r="T5">
        <v>1309812.8</v>
      </c>
      <c r="U5" s="11">
        <v>507.49</v>
      </c>
      <c r="V5" s="10">
        <v>1.1694148778915401</v>
      </c>
      <c r="W5">
        <v>2.1713628768920898</v>
      </c>
      <c r="X5">
        <v>2.2811255455017099</v>
      </c>
      <c r="Y5">
        <v>1.7835993766784699</v>
      </c>
      <c r="Z5" s="11">
        <v>1.61884760856628</v>
      </c>
      <c r="AA5" s="10">
        <v>1.7718328792640099</v>
      </c>
      <c r="AB5">
        <v>100</v>
      </c>
      <c r="AC5">
        <v>4.12</v>
      </c>
      <c r="AD5" s="11">
        <v>11.18</v>
      </c>
    </row>
    <row r="6" spans="1:30" x14ac:dyDescent="0.3">
      <c r="A6" s="1" t="s">
        <v>0</v>
      </c>
      <c r="B6" s="2">
        <v>2011</v>
      </c>
      <c r="C6" s="8">
        <v>5</v>
      </c>
      <c r="D6" s="3">
        <v>0</v>
      </c>
      <c r="E6" s="1">
        <v>128</v>
      </c>
      <c r="F6">
        <v>2.61</v>
      </c>
      <c r="G6">
        <v>1.53</v>
      </c>
      <c r="H6" s="11">
        <v>0.5</v>
      </c>
      <c r="I6" s="10">
        <v>46</v>
      </c>
      <c r="J6">
        <v>100</v>
      </c>
      <c r="K6">
        <v>151959.9</v>
      </c>
      <c r="L6">
        <v>5.7317301102735039</v>
      </c>
      <c r="M6" s="8">
        <v>49155657316.294601</v>
      </c>
      <c r="N6">
        <v>6.2149341685898918</v>
      </c>
      <c r="O6">
        <v>53891.457026437172</v>
      </c>
      <c r="P6">
        <v>5.2477933984048004</v>
      </c>
      <c r="Q6" s="11">
        <v>87.2</v>
      </c>
      <c r="R6" s="10">
        <v>24.838920454545452</v>
      </c>
      <c r="S6">
        <v>34016576</v>
      </c>
      <c r="T6">
        <v>1195545.2</v>
      </c>
      <c r="U6" s="11">
        <v>505.87</v>
      </c>
      <c r="V6" s="10">
        <v>1.19142174720764</v>
      </c>
      <c r="W6">
        <v>2.1029970645904501</v>
      </c>
      <c r="X6">
        <v>2.1938171386718799</v>
      </c>
      <c r="Y6">
        <v>1.7832305431366</v>
      </c>
      <c r="Z6" s="11">
        <v>1.6607534885406501</v>
      </c>
      <c r="AA6" s="10">
        <v>2.0849024560600702</v>
      </c>
      <c r="AB6">
        <v>100</v>
      </c>
      <c r="AC6">
        <v>3.89</v>
      </c>
      <c r="AD6" s="11">
        <v>11.25</v>
      </c>
    </row>
    <row r="7" spans="1:30" x14ac:dyDescent="0.3">
      <c r="A7" s="1" t="s">
        <v>0</v>
      </c>
      <c r="B7" s="2">
        <v>2012</v>
      </c>
      <c r="C7" s="8">
        <v>8</v>
      </c>
      <c r="D7" s="3">
        <v>0</v>
      </c>
      <c r="E7" s="1">
        <v>128</v>
      </c>
      <c r="F7">
        <v>2.71</v>
      </c>
      <c r="G7">
        <v>2.2599999999999998</v>
      </c>
      <c r="H7" s="11">
        <v>0.5</v>
      </c>
      <c r="I7" s="10">
        <v>46.94</v>
      </c>
      <c r="J7">
        <v>100</v>
      </c>
      <c r="K7">
        <v>149476.6</v>
      </c>
      <c r="L7">
        <v>5.835913120236718</v>
      </c>
      <c r="M7" s="8">
        <v>55310807547.703499</v>
      </c>
      <c r="N7">
        <v>4.4354975937853709</v>
      </c>
      <c r="O7">
        <v>55547.55530777861</v>
      </c>
      <c r="P7">
        <v>4.57560270376527</v>
      </c>
      <c r="Q7" s="11">
        <v>87.5</v>
      </c>
      <c r="R7" s="10">
        <v>24.409065155807365</v>
      </c>
      <c r="S7">
        <v>50706096</v>
      </c>
      <c r="T7">
        <v>423220.9</v>
      </c>
      <c r="U7" s="11">
        <v>493.82</v>
      </c>
      <c r="V7" s="10">
        <v>1.36817455291748</v>
      </c>
      <c r="W7">
        <v>2.1157081127166699</v>
      </c>
      <c r="X7">
        <v>2.20258617401123</v>
      </c>
      <c r="Y7">
        <v>1.95790207386017</v>
      </c>
      <c r="Z7" s="11">
        <v>1.7240780591964699</v>
      </c>
      <c r="AA7" s="10">
        <v>2.4533903303101798</v>
      </c>
      <c r="AB7">
        <v>100</v>
      </c>
      <c r="AC7">
        <v>3.72</v>
      </c>
      <c r="AD7" s="11">
        <v>11.25</v>
      </c>
    </row>
    <row r="8" spans="1:30" x14ac:dyDescent="0.3">
      <c r="A8" s="1" t="s">
        <v>0</v>
      </c>
      <c r="B8" s="2">
        <v>2013</v>
      </c>
      <c r="C8" s="8">
        <v>12</v>
      </c>
      <c r="D8" s="3">
        <v>0</v>
      </c>
      <c r="E8" s="1">
        <v>160</v>
      </c>
      <c r="F8">
        <v>3.52</v>
      </c>
      <c r="G8">
        <v>26.47</v>
      </c>
      <c r="H8" s="11">
        <v>0.6</v>
      </c>
      <c r="I8" s="10">
        <v>47.97</v>
      </c>
      <c r="J8">
        <v>100</v>
      </c>
      <c r="K8">
        <v>148317.19</v>
      </c>
      <c r="L8">
        <v>5.9040726655097293</v>
      </c>
      <c r="M8" s="8">
        <v>64389514904.499298</v>
      </c>
      <c r="N8">
        <v>4.8176309912067552</v>
      </c>
      <c r="O8">
        <v>56967.425794038332</v>
      </c>
      <c r="P8">
        <v>2.35860415399832</v>
      </c>
      <c r="Q8" s="11">
        <v>88</v>
      </c>
      <c r="R8" s="10">
        <v>24.015558698727013</v>
      </c>
      <c r="S8">
        <v>54908704</v>
      </c>
      <c r="T8">
        <v>425895.1</v>
      </c>
      <c r="U8" s="11">
        <v>476.96</v>
      </c>
      <c r="V8" s="10">
        <v>1.378178358078</v>
      </c>
      <c r="W8">
        <v>2.0705025196075399</v>
      </c>
      <c r="X8">
        <v>2.12852215766907</v>
      </c>
      <c r="Y8">
        <v>1.9601083993911701</v>
      </c>
      <c r="Z8" s="11">
        <v>1.69718194007874</v>
      </c>
      <c r="AA8" s="10">
        <v>1.61930809858875</v>
      </c>
      <c r="AB8">
        <v>100</v>
      </c>
      <c r="AC8">
        <v>3.86</v>
      </c>
      <c r="AD8" s="11">
        <v>11.38</v>
      </c>
    </row>
    <row r="9" spans="1:30" x14ac:dyDescent="0.3">
      <c r="A9" s="1" t="s">
        <v>0</v>
      </c>
      <c r="B9" s="2">
        <v>2014</v>
      </c>
      <c r="C9" s="8">
        <v>26</v>
      </c>
      <c r="D9" s="3">
        <v>0</v>
      </c>
      <c r="E9" s="1">
        <v>154</v>
      </c>
      <c r="F9">
        <v>2.8</v>
      </c>
      <c r="G9">
        <v>4.6500000000000004</v>
      </c>
      <c r="H9" s="11">
        <v>0.6</v>
      </c>
      <c r="I9" s="10">
        <v>49.3</v>
      </c>
      <c r="J9">
        <v>100</v>
      </c>
      <c r="K9">
        <v>148692.51999999999</v>
      </c>
      <c r="L9">
        <v>5.9520216349346242</v>
      </c>
      <c r="M9" s="8">
        <v>68698472830.590698</v>
      </c>
      <c r="N9">
        <v>3.9355402770900696</v>
      </c>
      <c r="O9">
        <v>57564.80231149774</v>
      </c>
      <c r="P9">
        <v>1.02514803039391</v>
      </c>
      <c r="Q9" s="11">
        <v>89.4</v>
      </c>
      <c r="R9" s="10">
        <v>23.58984485190409</v>
      </c>
      <c r="S9">
        <v>52109410</v>
      </c>
      <c r="T9">
        <v>436762.5</v>
      </c>
      <c r="U9" s="11">
        <v>476.47</v>
      </c>
      <c r="V9" s="10">
        <v>1.1862714290618901</v>
      </c>
      <c r="W9">
        <v>2.0675637722015399</v>
      </c>
      <c r="X9">
        <v>2.2180907726287802</v>
      </c>
      <c r="Y9">
        <v>2.2263600826263401</v>
      </c>
      <c r="Z9" s="11">
        <v>1.8206549882888801</v>
      </c>
      <c r="AA9" s="10">
        <v>1.2984401779922601</v>
      </c>
      <c r="AB9">
        <v>100</v>
      </c>
      <c r="AC9">
        <v>3.74</v>
      </c>
      <c r="AD9" s="11">
        <v>11.44</v>
      </c>
    </row>
    <row r="10" spans="1:30" x14ac:dyDescent="0.3">
      <c r="A10" s="1" t="s">
        <v>0</v>
      </c>
      <c r="B10" s="2">
        <v>2015</v>
      </c>
      <c r="C10" s="8">
        <v>46</v>
      </c>
      <c r="D10" s="3">
        <v>0</v>
      </c>
      <c r="E10" s="1">
        <v>168</v>
      </c>
      <c r="F10">
        <v>2.9</v>
      </c>
      <c r="G10">
        <v>18.89</v>
      </c>
      <c r="H10" s="11">
        <v>0.7</v>
      </c>
      <c r="I10" s="10">
        <v>50.28</v>
      </c>
      <c r="J10">
        <v>100</v>
      </c>
      <c r="K10">
        <v>155468.98000000001</v>
      </c>
      <c r="L10">
        <v>5.724043715846995</v>
      </c>
      <c r="M10" s="8">
        <v>69774553124.943207</v>
      </c>
      <c r="N10">
        <v>2.9767993163480639</v>
      </c>
      <c r="O10">
        <v>55645.606861460568</v>
      </c>
      <c r="P10">
        <v>-0.52261816707529796</v>
      </c>
      <c r="Q10" s="11">
        <v>89.4</v>
      </c>
      <c r="R10" s="10">
        <v>23.231875881523276</v>
      </c>
      <c r="S10">
        <v>61925264</v>
      </c>
      <c r="T10">
        <v>444256.4</v>
      </c>
      <c r="U10" s="11">
        <v>476.73</v>
      </c>
      <c r="V10" s="10">
        <v>1.2988921403884901</v>
      </c>
      <c r="W10">
        <v>2.0508465766906698</v>
      </c>
      <c r="X10">
        <v>2.2487707138061501</v>
      </c>
      <c r="Y10">
        <v>2.2522354125976598</v>
      </c>
      <c r="Z10" s="11">
        <v>1.77878141403198</v>
      </c>
      <c r="AA10" s="10">
        <v>1.18637693749822</v>
      </c>
      <c r="AB10">
        <v>100</v>
      </c>
      <c r="AC10">
        <v>3.79</v>
      </c>
      <c r="AD10" s="11">
        <v>11.57</v>
      </c>
    </row>
    <row r="11" spans="1:30" x14ac:dyDescent="0.3">
      <c r="A11" s="1" t="s">
        <v>0</v>
      </c>
      <c r="B11" s="2">
        <v>2016</v>
      </c>
      <c r="C11" s="8">
        <v>97</v>
      </c>
      <c r="D11" s="3">
        <v>0</v>
      </c>
      <c r="E11" s="1">
        <v>169</v>
      </c>
      <c r="F11">
        <v>2.91</v>
      </c>
      <c r="G11">
        <v>24.3</v>
      </c>
      <c r="H11" s="11">
        <v>0.7</v>
      </c>
      <c r="I11" s="10">
        <v>51.59</v>
      </c>
      <c r="J11">
        <v>100</v>
      </c>
      <c r="K11">
        <v>162248.22</v>
      </c>
      <c r="L11">
        <v>5.5667655786350156</v>
      </c>
      <c r="M11" s="8">
        <v>65363061549.607597</v>
      </c>
      <c r="N11">
        <v>3.5886436958266756</v>
      </c>
      <c r="O11">
        <v>56899.918180517263</v>
      </c>
      <c r="P11">
        <v>-0.53226873971625299</v>
      </c>
      <c r="Q11" s="11">
        <v>87.8</v>
      </c>
      <c r="R11" s="10">
        <v>22.969675599435824</v>
      </c>
      <c r="S11">
        <v>40289344</v>
      </c>
      <c r="T11">
        <v>439318.56</v>
      </c>
      <c r="U11" s="11">
        <v>476.25</v>
      </c>
      <c r="V11" s="10">
        <v>1.4774689674377399</v>
      </c>
      <c r="W11">
        <v>2.0415911674499498</v>
      </c>
      <c r="X11">
        <v>2.2145731449127202</v>
      </c>
      <c r="Y11">
        <v>2.17064332962036</v>
      </c>
      <c r="Z11" s="11">
        <v>1.78596162796021</v>
      </c>
      <c r="AA11" s="10">
        <v>1.2974360993860199</v>
      </c>
      <c r="AB11">
        <v>100</v>
      </c>
      <c r="AC11">
        <v>4.08</v>
      </c>
      <c r="AD11" s="11">
        <v>11.59</v>
      </c>
    </row>
    <row r="12" spans="1:30" x14ac:dyDescent="0.3">
      <c r="A12" s="1" t="s">
        <v>0</v>
      </c>
      <c r="B12" s="2">
        <v>2017</v>
      </c>
      <c r="C12" s="8">
        <v>116</v>
      </c>
      <c r="D12" s="3">
        <v>0</v>
      </c>
      <c r="E12" s="1">
        <v>170</v>
      </c>
      <c r="F12">
        <v>2.89</v>
      </c>
      <c r="G12">
        <v>7.52</v>
      </c>
      <c r="H12" s="11">
        <v>0.7</v>
      </c>
      <c r="I12" s="10">
        <v>52.28</v>
      </c>
      <c r="J12">
        <v>100</v>
      </c>
      <c r="K12">
        <v>164802.54999999999</v>
      </c>
      <c r="L12">
        <v>5.5031578947368427</v>
      </c>
      <c r="M12" s="8">
        <v>102165867081.847</v>
      </c>
      <c r="N12">
        <v>4.5129263177092724</v>
      </c>
      <c r="O12">
        <v>61162.097393277094</v>
      </c>
      <c r="P12">
        <v>0.57626031016634904</v>
      </c>
      <c r="Q12" s="11">
        <v>88.6</v>
      </c>
      <c r="R12" s="10">
        <v>22.626404494382022</v>
      </c>
      <c r="S12">
        <v>40014544</v>
      </c>
      <c r="T12">
        <v>490827.2</v>
      </c>
      <c r="U12" s="11">
        <v>476.66</v>
      </c>
      <c r="V12" s="10">
        <v>1.5991231203079199</v>
      </c>
      <c r="W12">
        <v>2.08804154396057</v>
      </c>
      <c r="X12">
        <v>2.2252883911132799</v>
      </c>
      <c r="Y12">
        <v>2.1086354255676301</v>
      </c>
      <c r="Z12" s="11">
        <v>1.7840709686279299</v>
      </c>
      <c r="AA12" s="10">
        <v>8.8595469992426304E-2</v>
      </c>
      <c r="AB12">
        <v>100</v>
      </c>
      <c r="AC12">
        <v>4.2</v>
      </c>
      <c r="AD12" s="11">
        <v>11.55</v>
      </c>
    </row>
    <row r="13" spans="1:30" x14ac:dyDescent="0.3">
      <c r="A13" s="1" t="s">
        <v>0</v>
      </c>
      <c r="B13" s="2">
        <v>2018</v>
      </c>
      <c r="C13" s="8">
        <v>162</v>
      </c>
      <c r="D13" s="3">
        <v>0</v>
      </c>
      <c r="E13" s="1">
        <v>169</v>
      </c>
      <c r="F13">
        <v>2.81</v>
      </c>
      <c r="G13">
        <v>15.38</v>
      </c>
      <c r="H13" s="11">
        <v>0.8</v>
      </c>
      <c r="I13" s="10">
        <v>52.97</v>
      </c>
      <c r="J13">
        <v>100</v>
      </c>
      <c r="K13">
        <v>163485.73000000001</v>
      </c>
      <c r="L13">
        <v>5.5723287642411554</v>
      </c>
      <c r="M13" s="8">
        <v>82009180716.787704</v>
      </c>
      <c r="N13">
        <v>3.5171141850925522</v>
      </c>
      <c r="O13">
        <v>66840.637338979053</v>
      </c>
      <c r="P13">
        <v>0.43862011844684001</v>
      </c>
      <c r="Q13" s="11">
        <v>88.8</v>
      </c>
      <c r="R13" s="10">
        <v>22.310924369747902</v>
      </c>
      <c r="S13">
        <v>50035584</v>
      </c>
      <c r="T13">
        <v>587777.75</v>
      </c>
      <c r="U13" s="11">
        <v>476.68</v>
      </c>
      <c r="V13" s="10">
        <v>1.4680089950561499</v>
      </c>
      <c r="W13">
        <v>2.13455390930176</v>
      </c>
      <c r="X13">
        <v>2.2316703796386701</v>
      </c>
      <c r="Y13">
        <v>2.1217379570007302</v>
      </c>
      <c r="Z13" s="11">
        <v>1.8026770353317301</v>
      </c>
      <c r="AA13" s="10">
        <v>0.469704298714121</v>
      </c>
      <c r="AB13">
        <v>100</v>
      </c>
      <c r="AC13">
        <v>3.613</v>
      </c>
      <c r="AD13" s="11">
        <v>11.74</v>
      </c>
    </row>
    <row r="14" spans="1:30" x14ac:dyDescent="0.3">
      <c r="A14" s="1" t="s">
        <v>0</v>
      </c>
      <c r="B14" s="2">
        <v>2019</v>
      </c>
      <c r="C14" s="8">
        <v>272</v>
      </c>
      <c r="D14" s="3">
        <v>0</v>
      </c>
      <c r="E14" s="1">
        <v>166</v>
      </c>
      <c r="F14">
        <v>2.79</v>
      </c>
      <c r="G14">
        <v>32.42</v>
      </c>
      <c r="H14" s="11">
        <v>0.9</v>
      </c>
      <c r="I14" s="10">
        <v>54.14</v>
      </c>
      <c r="J14">
        <v>100</v>
      </c>
      <c r="K14">
        <v>158475.06</v>
      </c>
      <c r="L14">
        <v>5.8235091644436796</v>
      </c>
      <c r="M14" s="8">
        <v>105890494138.633</v>
      </c>
      <c r="N14">
        <v>1.3450587408272838</v>
      </c>
      <c r="O14">
        <v>66081.719923516459</v>
      </c>
      <c r="P14">
        <v>0.56526056878032604</v>
      </c>
      <c r="Q14" s="11">
        <v>89.4</v>
      </c>
      <c r="R14" s="10">
        <v>21.997206703910617</v>
      </c>
      <c r="S14">
        <v>33778416</v>
      </c>
      <c r="T14">
        <v>491487.38</v>
      </c>
      <c r="U14" s="11">
        <v>475.8</v>
      </c>
      <c r="V14" s="10">
        <v>1.4803055524826001</v>
      </c>
      <c r="W14">
        <v>2.12010598182678</v>
      </c>
      <c r="X14">
        <v>2.2317192554473899</v>
      </c>
      <c r="Y14">
        <v>2.1544375419616699</v>
      </c>
      <c r="Z14" s="11">
        <v>1.8378143310546899</v>
      </c>
      <c r="AA14" s="10">
        <v>1.1442833068892899</v>
      </c>
      <c r="AB14">
        <v>100</v>
      </c>
      <c r="AC14">
        <v>3.1</v>
      </c>
      <c r="AD14" s="11">
        <v>11.85</v>
      </c>
    </row>
    <row r="15" spans="1:30" x14ac:dyDescent="0.3">
      <c r="A15" s="1" t="s">
        <v>0</v>
      </c>
      <c r="B15" s="2">
        <v>2020</v>
      </c>
      <c r="C15" s="8">
        <v>332</v>
      </c>
      <c r="D15" s="3">
        <v>0</v>
      </c>
      <c r="E15" s="1">
        <v>164</v>
      </c>
      <c r="F15">
        <v>2.81</v>
      </c>
      <c r="G15">
        <v>13.5</v>
      </c>
      <c r="H15" s="11">
        <v>0.9</v>
      </c>
      <c r="I15" s="10">
        <v>53.07</v>
      </c>
      <c r="J15">
        <v>100</v>
      </c>
      <c r="K15">
        <v>154067.25</v>
      </c>
      <c r="L15">
        <v>5.8285375389887104</v>
      </c>
      <c r="M15" s="8">
        <v>80732866659.821396</v>
      </c>
      <c r="N15">
        <v>-3.8697989343004338</v>
      </c>
      <c r="O15">
        <v>61466.803676357988</v>
      </c>
      <c r="P15">
        <v>-0.181916666666634</v>
      </c>
      <c r="Q15" s="11">
        <v>89.4</v>
      </c>
      <c r="R15" s="10">
        <v>21.685236768802227</v>
      </c>
      <c r="S15">
        <v>54813440</v>
      </c>
      <c r="T15">
        <v>495202.66</v>
      </c>
      <c r="U15" s="11">
        <v>474.47</v>
      </c>
      <c r="V15" s="10">
        <v>1.4384142160415601</v>
      </c>
      <c r="W15">
        <v>2.1183173656463601</v>
      </c>
      <c r="X15">
        <v>2.2845726013183598</v>
      </c>
      <c r="Y15">
        <v>2.2052991390228298</v>
      </c>
      <c r="Z15" s="11">
        <v>1.8356260061264</v>
      </c>
      <c r="AA15" s="10">
        <v>-0.311904961250833</v>
      </c>
      <c r="AB15">
        <v>100</v>
      </c>
      <c r="AC15">
        <v>4.0999999999999996</v>
      </c>
      <c r="AD15" s="11">
        <v>11.92</v>
      </c>
    </row>
    <row r="16" spans="1:30" x14ac:dyDescent="0.3">
      <c r="A16" s="1" t="s">
        <v>0</v>
      </c>
      <c r="B16" s="2">
        <v>2021</v>
      </c>
      <c r="C16" s="8">
        <v>487</v>
      </c>
      <c r="D16" s="3">
        <v>0</v>
      </c>
      <c r="E16" s="1">
        <v>176</v>
      </c>
      <c r="F16">
        <v>2.9</v>
      </c>
      <c r="G16">
        <v>33.47</v>
      </c>
      <c r="H16" s="11">
        <v>1.1000000000000001</v>
      </c>
      <c r="I16" s="10">
        <v>55.79</v>
      </c>
      <c r="J16">
        <v>100</v>
      </c>
      <c r="K16">
        <v>153291.4</v>
      </c>
      <c r="L16">
        <v>6.1259896125001374</v>
      </c>
      <c r="M16" s="8">
        <v>137269287548.537</v>
      </c>
      <c r="N16">
        <v>9.6907668708206387</v>
      </c>
      <c r="O16">
        <v>79601.412962243252</v>
      </c>
      <c r="P16">
        <v>2.3048595904048401</v>
      </c>
      <c r="Q16" s="11">
        <v>89.7</v>
      </c>
      <c r="R16" s="10">
        <v>21.434540389972145</v>
      </c>
      <c r="S16">
        <v>55830696</v>
      </c>
      <c r="T16">
        <v>515434.06</v>
      </c>
      <c r="U16" s="11">
        <v>475.89</v>
      </c>
      <c r="V16" s="10">
        <v>1.4423249959945701</v>
      </c>
      <c r="W16">
        <v>2.1398079395294198</v>
      </c>
      <c r="X16">
        <v>2.2501127719879199</v>
      </c>
      <c r="Y16">
        <v>2.2268986701965301</v>
      </c>
      <c r="Z16" s="11">
        <v>1.8200041055679299</v>
      </c>
      <c r="AA16" s="10">
        <v>-4.1703363001752596</v>
      </c>
      <c r="AB16">
        <v>100</v>
      </c>
      <c r="AC16">
        <v>4.6399999999999997</v>
      </c>
      <c r="AD16" s="11">
        <v>11.92</v>
      </c>
    </row>
    <row r="17" spans="1:30" x14ac:dyDescent="0.3">
      <c r="A17" s="1" t="s">
        <v>0</v>
      </c>
      <c r="B17" s="2">
        <v>2022</v>
      </c>
      <c r="C17" s="8">
        <v>633</v>
      </c>
      <c r="D17" s="3">
        <v>0</v>
      </c>
      <c r="E17" s="1">
        <v>234</v>
      </c>
      <c r="F17">
        <v>4.09</v>
      </c>
      <c r="G17">
        <v>30.97</v>
      </c>
      <c r="H17" s="11">
        <f>ROUND(((H15-H14)/H14)*H16+H16,1)</f>
        <v>1.1000000000000001</v>
      </c>
      <c r="I17" s="10">
        <v>56.92</v>
      </c>
      <c r="J17">
        <v>100</v>
      </c>
      <c r="K17">
        <v>147572.32999999999</v>
      </c>
      <c r="L17">
        <v>6.4546124624369217</v>
      </c>
      <c r="M17" s="8">
        <v>148763733075.435</v>
      </c>
      <c r="N17">
        <v>3.8380767851980693</v>
      </c>
      <c r="O17">
        <v>88428.702422623188</v>
      </c>
      <c r="P17">
        <v>6.1210600403941804</v>
      </c>
      <c r="Q17" s="11">
        <v>84.4</v>
      </c>
      <c r="R17" s="10">
        <f>((R15-R14)/R14)*R16+R16</f>
        <v>21.130550330482048</v>
      </c>
      <c r="S17">
        <v>53252430</v>
      </c>
      <c r="T17">
        <v>514379.25</v>
      </c>
      <c r="U17" s="11">
        <v>474</v>
      </c>
      <c r="V17" s="10">
        <v>1.4599424600601201</v>
      </c>
      <c r="W17">
        <v>2.0947237014770499</v>
      </c>
      <c r="X17">
        <v>2.14482593536377</v>
      </c>
      <c r="Y17">
        <v>2.2143783569335902</v>
      </c>
      <c r="Z17" s="11">
        <v>1.7792776823043801</v>
      </c>
      <c r="AA17" s="10">
        <v>3.3086205243952298</v>
      </c>
      <c r="AB17">
        <v>100</v>
      </c>
      <c r="AC17">
        <v>3.5910000000000002</v>
      </c>
      <c r="AD17" s="11">
        <v>11.92</v>
      </c>
    </row>
    <row r="18" spans="1:30" ht="15" thickBot="1" x14ac:dyDescent="0.35">
      <c r="A18" s="1" t="s">
        <v>0</v>
      </c>
      <c r="B18" s="2">
        <v>2023</v>
      </c>
      <c r="C18" s="12">
        <v>774</v>
      </c>
      <c r="D18" s="13">
        <v>0</v>
      </c>
      <c r="E18" s="14">
        <v>246</v>
      </c>
      <c r="F18" s="15">
        <v>4.53</v>
      </c>
      <c r="G18" s="15">
        <v>17.649999999999999</v>
      </c>
      <c r="H18" s="16">
        <f>ROUND(((H16-H15)/H15)*H17+H17,1)</f>
        <v>1.3</v>
      </c>
      <c r="I18" s="17">
        <v>57.33</v>
      </c>
      <c r="J18" s="15">
        <v>100</v>
      </c>
      <c r="K18" s="15">
        <v>160276.98000000001</v>
      </c>
      <c r="L18" s="15">
        <v>5.94697205452169</v>
      </c>
      <c r="M18" s="12">
        <v>175241466623.63699</v>
      </c>
      <c r="N18" s="15">
        <v>1.0750317509510126</v>
      </c>
      <c r="O18" s="15">
        <v>84734.25592060537</v>
      </c>
      <c r="P18" s="15">
        <v>4.82146729476466</v>
      </c>
      <c r="Q18" s="16">
        <v>83.9</v>
      </c>
      <c r="R18" s="17">
        <f>((R16-R15)/R15)*R17+R17</f>
        <v>20.886266511632545</v>
      </c>
      <c r="S18" s="15">
        <f>ROUND(((S17-S16)/S16)*S17+S17,1)</f>
        <v>50793228.5</v>
      </c>
      <c r="T18" s="15">
        <f>ROUND(((T17-T16)/T16)*T17+T17,2)</f>
        <v>513326.6</v>
      </c>
      <c r="U18" s="16">
        <v>470.78</v>
      </c>
      <c r="V18" s="17">
        <f>((V17-V16)/V16)*V17+V17</f>
        <v>1.477775114905115</v>
      </c>
      <c r="W18" s="15">
        <f>((W17-W16)/W16)*W17+W17</f>
        <v>2.0505893563955464</v>
      </c>
      <c r="X18" s="15">
        <f>((X17-X16)/X16)*X17+X17</f>
        <v>2.0444656598010584</v>
      </c>
      <c r="Y18" s="15">
        <f>((Y17-Y16)/Y16)*Y17+Y17</f>
        <v>2.2019284367452432</v>
      </c>
      <c r="Z18" s="16">
        <f>((Z17-Z16)/Z16)*Z17+Z17</f>
        <v>1.7394625984970258</v>
      </c>
      <c r="AA18" s="17">
        <v>4.8583160778144201</v>
      </c>
      <c r="AB18" s="15">
        <v>100</v>
      </c>
      <c r="AC18" s="15">
        <v>3.472</v>
      </c>
      <c r="AD18" s="16">
        <f>ROUND(((AD17-AD16)/AD16)*AD17+AD17,2)</f>
        <v>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2024-12-08T08:22:58Z</dcterms:created>
  <dcterms:modified xsi:type="dcterms:W3CDTF">2024-12-08T10:02:22Z</dcterms:modified>
</cp:coreProperties>
</file>