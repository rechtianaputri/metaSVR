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"/>
    </mc:Choice>
  </mc:AlternateContent>
  <xr:revisionPtr revIDLastSave="0" documentId="13_ncr:1_{578C880C-461E-43E5-ABF8-9BF4CC4626BE}" xr6:coauthVersionLast="47" xr6:coauthVersionMax="47" xr10:uidLastSave="{00000000-0000-0000-0000-000000000000}"/>
  <bookViews>
    <workbookView xWindow="1680" yWindow="4104" windowWidth="10116" windowHeight="6000" activeTab="1" xr2:uid="{4680424B-A08F-40A4-8D86-815237360F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8" i="2" l="1"/>
  <c r="V38" i="2"/>
  <c r="R38" i="2"/>
  <c r="S38" i="2"/>
  <c r="T38" i="2"/>
  <c r="U38" i="2"/>
  <c r="P37" i="2"/>
  <c r="P38" i="2"/>
  <c r="O38" i="2"/>
  <c r="N38" i="2"/>
  <c r="K38" i="2"/>
  <c r="I37" i="2"/>
  <c r="I38" i="2" s="1"/>
  <c r="AD18" i="2"/>
  <c r="Z18" i="2"/>
  <c r="Y18" i="2"/>
  <c r="X18" i="2"/>
  <c r="W18" i="2"/>
  <c r="V18" i="2"/>
  <c r="T18" i="2"/>
  <c r="S18" i="2"/>
  <c r="J18" i="2"/>
  <c r="R17" i="2"/>
  <c r="R18" i="2" s="1"/>
  <c r="H17" i="2"/>
  <c r="H18" i="2" s="1"/>
  <c r="AD18" i="1"/>
  <c r="Z18" i="1"/>
  <c r="Y18" i="1"/>
  <c r="X18" i="1"/>
  <c r="W18" i="1"/>
  <c r="V18" i="1"/>
  <c r="T18" i="1"/>
  <c r="S18" i="1"/>
  <c r="R18" i="1"/>
  <c r="J18" i="1"/>
  <c r="H18" i="1"/>
  <c r="R17" i="1"/>
  <c r="H17" i="1"/>
</calcChain>
</file>

<file path=xl/sharedStrings.xml><?xml version="1.0" encoding="utf-8"?>
<sst xmlns="http://schemas.openxmlformats.org/spreadsheetml/2006/main" count="160" uniqueCount="33">
  <si>
    <t>Country</t>
  </si>
  <si>
    <t>Year</t>
  </si>
  <si>
    <t>Solar</t>
  </si>
  <si>
    <t>Hydropower</t>
  </si>
  <si>
    <t>Bioenergy</t>
  </si>
  <si>
    <t>Thailand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</si>
  <si>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</si>
  <si>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</si>
  <si>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</si>
  <si>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</si>
  <si>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</si>
  <si>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</si>
  <si>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</si>
  <si>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</si>
  <si>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</si>
  <si>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</si>
  <si>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</si>
  <si>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</si>
  <si>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</si>
  <si>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</si>
  <si>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</si>
  <si>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</si>
  <si>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Political_Stability</t>
  </si>
  <si>
    <t>Control_Corruption</t>
  </si>
  <si>
    <t>Gov_Effective</t>
  </si>
  <si>
    <t>Regulatory_Quality</t>
  </si>
  <si>
    <t>Rule_Law</t>
  </si>
  <si>
    <t>Pop_Growth</t>
  </si>
  <si>
    <t>Urbanization</t>
  </si>
  <si>
    <t>Unemployment</t>
  </si>
  <si>
    <t>Education</t>
  </si>
  <si>
    <t>NA</t>
  </si>
  <si>
    <t>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</si>
</sst>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1" fontId="1" fillId="0" borderId="0" xfId="1" applyNumberFormat="1"/>
    <xf numFmtId="0" fontId="1" fillId="0" borderId="1" xfId="1" applyBorder="1"/>
    <xf numFmtId="0" fontId="1" fillId="0" borderId="2" xfId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1" applyBorder="1"/>
    <xf numFmtId="1" fontId="1" fillId="0" borderId="7" xfId="1" applyNumberFormat="1" applyBorder="1"/>
    <xf numFmtId="0" fontId="1" fillId="0" borderId="7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0" xfId="0" applyFill="1" applyBorder="1" applyAlignment="1">
      <alignment horizontal="center" vertical="center"/>
    </xf>
  </cellXfs>
  <cellStyles count="2">
    <cellStyle name="Normal" xfId="0" builtinId="0"/>
    <cellStyle name="Normal 2" xfId="1" xr:uid="{1188A137-4BE9-4328-A7F5-702FFAA584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A147-6BC1-4B8B-821C-DD80A982E31D}">
  <dimension ref="A1:AD18"/>
  <sheetViews>
    <sheetView workbookViewId="0">
      <selection activeCell="AD18" sqref="A1:AD18"/>
    </sheetView>
  </sheetViews>
  <sheetFormatPr defaultRowHeight="14.4" x14ac:dyDescent="0.3"/>
  <cols>
    <col min="4" max="4" width="11.109375" bestFit="1" customWidth="1"/>
    <col min="5" max="5" width="9.109375" bestFit="1" customWidth="1"/>
    <col min="6" max="6" width="14.6640625" bestFit="1" customWidth="1"/>
    <col min="7" max="7" width="10.21875" bestFit="1" customWidth="1"/>
    <col min="8" max="8" width="15" bestFit="1" customWidth="1"/>
    <col min="9" max="9" width="12.109375" bestFit="1" customWidth="1"/>
    <col min="10" max="10" width="10.77734375" bestFit="1" customWidth="1"/>
    <col min="11" max="11" width="13.6640625" bestFit="1" customWidth="1"/>
    <col min="12" max="12" width="16.21875" bestFit="1" customWidth="1"/>
    <col min="13" max="13" width="12" bestFit="1" customWidth="1"/>
    <col min="14" max="14" width="12.6640625" bestFit="1" customWidth="1"/>
    <col min="15" max="15" width="12" bestFit="1" customWidth="1"/>
    <col min="16" max="16" width="12.6640625" bestFit="1" customWidth="1"/>
    <col min="18" max="19" width="12" bestFit="1" customWidth="1"/>
    <col min="20" max="20" width="11" bestFit="1" customWidth="1"/>
    <col min="21" max="22" width="15" bestFit="1" customWidth="1"/>
    <col min="23" max="23" width="17" bestFit="1" customWidth="1"/>
    <col min="24" max="24" width="12.44140625" bestFit="1" customWidth="1"/>
    <col min="25" max="25" width="16.6640625" bestFit="1" customWidth="1"/>
    <col min="26" max="26" width="12.6640625" bestFit="1" customWidth="1"/>
    <col min="27" max="27" width="12" bestFit="1" customWidth="1"/>
    <col min="28" max="28" width="11.44140625" bestFit="1" customWidth="1"/>
    <col min="29" max="29" width="13.6640625" bestFit="1" customWidth="1"/>
    <col min="30" max="30" width="9.109375" bestFit="1" customWidth="1"/>
  </cols>
  <sheetData>
    <row r="1" spans="1:30" x14ac:dyDescent="0.3">
      <c r="A1" s="8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6</v>
      </c>
      <c r="G1" s="10" t="s">
        <v>7</v>
      </c>
      <c r="H1" s="11" t="s">
        <v>8</v>
      </c>
      <c r="I1" s="9" t="s">
        <v>9</v>
      </c>
      <c r="J1" s="10" t="s">
        <v>10</v>
      </c>
      <c r="K1" s="10" t="s">
        <v>11</v>
      </c>
      <c r="L1" s="10" t="s">
        <v>12</v>
      </c>
      <c r="M1" s="9" t="s">
        <v>13</v>
      </c>
      <c r="N1" s="10" t="s">
        <v>14</v>
      </c>
      <c r="O1" s="10" t="s">
        <v>15</v>
      </c>
      <c r="P1" s="10" t="s">
        <v>16</v>
      </c>
      <c r="Q1" s="11" t="s">
        <v>17</v>
      </c>
      <c r="R1" s="9" t="s">
        <v>18</v>
      </c>
      <c r="S1" s="10" t="s">
        <v>19</v>
      </c>
      <c r="T1" s="10" t="s">
        <v>20</v>
      </c>
      <c r="U1" s="11" t="s">
        <v>21</v>
      </c>
      <c r="V1" s="9" t="s">
        <v>22</v>
      </c>
      <c r="W1" s="10" t="s">
        <v>23</v>
      </c>
      <c r="X1" s="10" t="s">
        <v>24</v>
      </c>
      <c r="Y1" s="10" t="s">
        <v>25</v>
      </c>
      <c r="Z1" s="11" t="s">
        <v>26</v>
      </c>
      <c r="AA1" s="9" t="s">
        <v>27</v>
      </c>
      <c r="AB1" s="10" t="s">
        <v>28</v>
      </c>
      <c r="AC1" s="10" t="s">
        <v>29</v>
      </c>
      <c r="AD1" s="11" t="s">
        <v>30</v>
      </c>
    </row>
    <row r="2" spans="1:30" x14ac:dyDescent="0.3">
      <c r="A2" s="1" t="s">
        <v>5</v>
      </c>
      <c r="B2" s="2">
        <v>2007</v>
      </c>
      <c r="C2" s="4">
        <v>32</v>
      </c>
      <c r="D2" s="3">
        <v>3476</v>
      </c>
      <c r="E2" s="1">
        <v>1379</v>
      </c>
      <c r="F2">
        <v>7.31</v>
      </c>
      <c r="G2">
        <v>7.43</v>
      </c>
      <c r="H2" s="5">
        <v>21.6</v>
      </c>
      <c r="I2" s="6">
        <v>146.27000000000001</v>
      </c>
      <c r="J2">
        <v>94.1</v>
      </c>
      <c r="K2">
        <v>16141.03</v>
      </c>
      <c r="L2">
        <v>13.213739396467805</v>
      </c>
      <c r="M2" s="4">
        <v>8633903440.6000004</v>
      </c>
      <c r="N2">
        <v>5.4351516905080928</v>
      </c>
      <c r="O2">
        <v>3934.6909091986258</v>
      </c>
      <c r="P2">
        <v>2.2415409528680201</v>
      </c>
      <c r="Q2" s="7">
        <v>63.5</v>
      </c>
      <c r="R2" s="6">
        <v>38.659006831216111</v>
      </c>
      <c r="S2">
        <v>224082600</v>
      </c>
      <c r="T2">
        <v>22872274</v>
      </c>
      <c r="U2" s="7">
        <v>606.89</v>
      </c>
      <c r="V2" s="6">
        <v>-1.11284792423248</v>
      </c>
      <c r="W2">
        <v>-0.40017232298851002</v>
      </c>
      <c r="X2">
        <v>0.28591948747634899</v>
      </c>
      <c r="Y2">
        <v>8.61985608935356E-2</v>
      </c>
      <c r="Z2" s="7">
        <v>-0.13744048774242401</v>
      </c>
      <c r="AA2" s="6">
        <v>0.76191607845987797</v>
      </c>
      <c r="AB2">
        <v>39.950000000000003</v>
      </c>
      <c r="AC2">
        <v>1.18</v>
      </c>
      <c r="AD2" s="7">
        <v>7.13</v>
      </c>
    </row>
    <row r="3" spans="1:30" x14ac:dyDescent="0.3">
      <c r="A3" s="1" t="s">
        <v>5</v>
      </c>
      <c r="B3" s="2">
        <v>2008</v>
      </c>
      <c r="C3" s="4">
        <v>32</v>
      </c>
      <c r="D3" s="3">
        <v>3481</v>
      </c>
      <c r="E3" s="1">
        <v>1621</v>
      </c>
      <c r="F3">
        <v>6.28</v>
      </c>
      <c r="G3">
        <v>5.03</v>
      </c>
      <c r="H3" s="5">
        <v>22.6</v>
      </c>
      <c r="I3" s="6">
        <v>147.26</v>
      </c>
      <c r="J3">
        <v>94.8</v>
      </c>
      <c r="K3">
        <v>16019.2</v>
      </c>
      <c r="L3">
        <v>13.484896248632412</v>
      </c>
      <c r="M3" s="4">
        <v>8561557724.6000099</v>
      </c>
      <c r="N3">
        <v>1.7256988486633418</v>
      </c>
      <c r="O3">
        <v>4327.7974704039334</v>
      </c>
      <c r="P3">
        <v>5.4684894964984601</v>
      </c>
      <c r="Q3" s="7">
        <v>62.3</v>
      </c>
      <c r="R3" s="6">
        <v>38.869423946446396</v>
      </c>
      <c r="S3">
        <v>224248700</v>
      </c>
      <c r="T3">
        <v>22294292</v>
      </c>
      <c r="U3" s="7">
        <v>608.91</v>
      </c>
      <c r="V3" s="6">
        <v>-1.2720932960510301</v>
      </c>
      <c r="W3">
        <v>-0.44062724709510798</v>
      </c>
      <c r="X3">
        <v>0.15694396197795901</v>
      </c>
      <c r="Y3">
        <v>0.11253724992275201</v>
      </c>
      <c r="Z3" s="7">
        <v>-0.15974041819572399</v>
      </c>
      <c r="AA3" s="6">
        <v>0.74762381126890998</v>
      </c>
      <c r="AB3">
        <v>41.241999999999997</v>
      </c>
      <c r="AC3">
        <v>1.18</v>
      </c>
      <c r="AD3" s="7">
        <v>7.29</v>
      </c>
    </row>
    <row r="4" spans="1:30" x14ac:dyDescent="0.3">
      <c r="A4" s="1" t="s">
        <v>5</v>
      </c>
      <c r="B4" s="2">
        <v>2009</v>
      </c>
      <c r="C4" s="4">
        <v>37</v>
      </c>
      <c r="D4" s="3">
        <v>3488</v>
      </c>
      <c r="E4" s="1">
        <v>1695</v>
      </c>
      <c r="F4">
        <v>6.35</v>
      </c>
      <c r="G4">
        <v>-19.57</v>
      </c>
      <c r="H4" s="5">
        <v>22.8</v>
      </c>
      <c r="I4" s="6">
        <v>147.05000000000001</v>
      </c>
      <c r="J4">
        <v>99</v>
      </c>
      <c r="K4">
        <v>16352.36</v>
      </c>
      <c r="L4">
        <v>13.1570641440694</v>
      </c>
      <c r="M4" s="4">
        <v>6411458544.6000099</v>
      </c>
      <c r="N4">
        <v>-0.69061823230057939</v>
      </c>
      <c r="O4">
        <v>4154.1874470784169</v>
      </c>
      <c r="P4">
        <v>-0.84571609231672096</v>
      </c>
      <c r="Q4" s="7">
        <v>63</v>
      </c>
      <c r="R4" s="6">
        <v>39.079841061676682</v>
      </c>
      <c r="S4">
        <v>228836240</v>
      </c>
      <c r="T4">
        <v>23957610</v>
      </c>
      <c r="U4" s="7">
        <v>605.89</v>
      </c>
      <c r="V4" s="6">
        <v>-1.42447113990784</v>
      </c>
      <c r="W4">
        <v>-0.3320132791996</v>
      </c>
      <c r="X4">
        <v>0.206796795129776</v>
      </c>
      <c r="Y4">
        <v>0.121483989059925</v>
      </c>
      <c r="Z4" s="7">
        <v>-0.260052651166916</v>
      </c>
      <c r="AA4" s="6">
        <v>0.71838136464921099</v>
      </c>
      <c r="AB4">
        <v>42.542999999999999</v>
      </c>
      <c r="AC4">
        <v>1.49</v>
      </c>
      <c r="AD4" s="7">
        <v>7.45</v>
      </c>
    </row>
    <row r="5" spans="1:30" x14ac:dyDescent="0.3">
      <c r="A5" s="1" t="s">
        <v>5</v>
      </c>
      <c r="B5" s="2">
        <v>2010</v>
      </c>
      <c r="C5" s="4">
        <v>49</v>
      </c>
      <c r="D5" s="3">
        <v>3548</v>
      </c>
      <c r="E5" s="1">
        <v>1767</v>
      </c>
      <c r="F5">
        <v>5.57</v>
      </c>
      <c r="G5">
        <v>16.440000000000001</v>
      </c>
      <c r="H5" s="7">
        <v>22.8</v>
      </c>
      <c r="I5" s="6">
        <v>163.51</v>
      </c>
      <c r="J5">
        <v>99.7</v>
      </c>
      <c r="K5">
        <v>17276.060000000001</v>
      </c>
      <c r="L5">
        <v>13.359730041375567</v>
      </c>
      <c r="M5" s="4">
        <v>14746672919.6</v>
      </c>
      <c r="N5">
        <v>7.513390532616242</v>
      </c>
      <c r="O5">
        <v>4996.3720976009063</v>
      </c>
      <c r="P5">
        <v>3.2475884244372302</v>
      </c>
      <c r="Q5" s="7">
        <v>64.099999999999994</v>
      </c>
      <c r="R5" s="6">
        <v>39.290258176906967</v>
      </c>
      <c r="S5">
        <v>241018980</v>
      </c>
      <c r="T5">
        <v>25095798</v>
      </c>
      <c r="U5" s="7">
        <v>606.33000000000004</v>
      </c>
      <c r="V5" s="6">
        <v>-1.44278836250305</v>
      </c>
      <c r="W5">
        <v>-0.36033946275711098</v>
      </c>
      <c r="X5">
        <v>8.3291068673133906E-2</v>
      </c>
      <c r="Y5">
        <v>6.1810683459043503E-2</v>
      </c>
      <c r="Z5" s="7">
        <v>-0.23362262547016099</v>
      </c>
      <c r="AA5" s="6">
        <v>0.67140330392279801</v>
      </c>
      <c r="AB5">
        <v>43.856000000000002</v>
      </c>
      <c r="AC5">
        <v>0.622</v>
      </c>
      <c r="AD5" s="7">
        <v>7.61</v>
      </c>
    </row>
    <row r="6" spans="1:30" x14ac:dyDescent="0.3">
      <c r="A6" s="1" t="s">
        <v>5</v>
      </c>
      <c r="B6" s="2">
        <v>2011</v>
      </c>
      <c r="C6" s="4">
        <v>79</v>
      </c>
      <c r="D6" s="3">
        <v>3560</v>
      </c>
      <c r="E6" s="1">
        <v>1975</v>
      </c>
      <c r="F6">
        <v>7.83</v>
      </c>
      <c r="G6">
        <v>5.24</v>
      </c>
      <c r="H6" s="7">
        <v>23</v>
      </c>
      <c r="I6" s="6">
        <v>162.74</v>
      </c>
      <c r="J6">
        <v>99.3</v>
      </c>
      <c r="K6">
        <v>17645.64</v>
      </c>
      <c r="L6">
        <v>12.643507521773556</v>
      </c>
      <c r="M6" s="4">
        <v>2473685995.6999998</v>
      </c>
      <c r="N6">
        <v>0.84013208305333364</v>
      </c>
      <c r="O6">
        <v>5396.6435857368206</v>
      </c>
      <c r="P6">
        <v>3.8087905813963401</v>
      </c>
      <c r="Q6" s="7">
        <v>64.7</v>
      </c>
      <c r="R6" s="6">
        <v>39.28556049247392</v>
      </c>
      <c r="S6">
        <v>244878160</v>
      </c>
      <c r="T6">
        <v>25252052</v>
      </c>
      <c r="U6" s="7">
        <v>600.98</v>
      </c>
      <c r="V6" s="6">
        <v>-1.13353371620178</v>
      </c>
      <c r="W6">
        <v>-0.35324403643608099</v>
      </c>
      <c r="X6">
        <v>9.9299393594264998E-2</v>
      </c>
      <c r="Y6">
        <v>9.0382799506187397E-2</v>
      </c>
      <c r="Z6" s="7">
        <v>-0.22975252568721799</v>
      </c>
      <c r="AA6" s="6">
        <v>0.64585745072644296</v>
      </c>
      <c r="AB6">
        <v>44.698</v>
      </c>
      <c r="AC6">
        <v>0.66</v>
      </c>
      <c r="AD6" s="7">
        <v>7.71</v>
      </c>
    </row>
    <row r="7" spans="1:30" x14ac:dyDescent="0.3">
      <c r="A7" s="1" t="s">
        <v>5</v>
      </c>
      <c r="B7" s="2">
        <v>2012</v>
      </c>
      <c r="C7" s="4">
        <v>382</v>
      </c>
      <c r="D7" s="3">
        <v>3568</v>
      </c>
      <c r="E7" s="1">
        <v>2196</v>
      </c>
      <c r="F7">
        <v>8.08</v>
      </c>
      <c r="G7">
        <v>12.59</v>
      </c>
      <c r="H7" s="7">
        <v>23.6</v>
      </c>
      <c r="I7" s="6">
        <v>177.58</v>
      </c>
      <c r="J7">
        <v>99.1</v>
      </c>
      <c r="K7">
        <v>18694.71</v>
      </c>
      <c r="L7">
        <v>13.068599317796842</v>
      </c>
      <c r="M7" s="4">
        <v>12899036062.7558</v>
      </c>
      <c r="N7">
        <v>7.2427962024964216</v>
      </c>
      <c r="O7">
        <v>5748.6327206215792</v>
      </c>
      <c r="P7">
        <v>3.0148995033499402</v>
      </c>
      <c r="Q7" s="7">
        <v>64.900000000000006</v>
      </c>
      <c r="R7" s="6">
        <v>39.280862808040865</v>
      </c>
      <c r="S7">
        <v>262347660</v>
      </c>
      <c r="T7">
        <v>25889856</v>
      </c>
      <c r="U7" s="7">
        <v>597.89</v>
      </c>
      <c r="V7" s="6">
        <v>-1.21663069725037</v>
      </c>
      <c r="W7">
        <v>-0.397404074668884</v>
      </c>
      <c r="X7">
        <v>0.13015991449356101</v>
      </c>
      <c r="Y7">
        <v>0.13722421228885701</v>
      </c>
      <c r="Z7" s="7">
        <v>-0.17236910760402699</v>
      </c>
      <c r="AA7" s="6">
        <v>0.64434461278447097</v>
      </c>
      <c r="AB7">
        <v>45.445</v>
      </c>
      <c r="AC7">
        <v>0.57999999999999996</v>
      </c>
      <c r="AD7" s="7">
        <v>7.81</v>
      </c>
    </row>
    <row r="8" spans="1:30" x14ac:dyDescent="0.3">
      <c r="A8" s="1" t="s">
        <v>5</v>
      </c>
      <c r="B8" s="2">
        <v>2013</v>
      </c>
      <c r="C8" s="4">
        <v>829</v>
      </c>
      <c r="D8" s="3">
        <v>3575</v>
      </c>
      <c r="E8" s="1">
        <v>2634</v>
      </c>
      <c r="F8">
        <v>7.5</v>
      </c>
      <c r="G8">
        <v>17.600000000000001</v>
      </c>
      <c r="H8" s="7">
        <v>23.2</v>
      </c>
      <c r="I8" s="6">
        <v>179.93</v>
      </c>
      <c r="J8">
        <v>99.4</v>
      </c>
      <c r="K8">
        <v>18868.78</v>
      </c>
      <c r="L8">
        <v>12.845238639306553</v>
      </c>
      <c r="M8" s="4">
        <v>15935960664.807301</v>
      </c>
      <c r="N8">
        <v>2.6874955632055588</v>
      </c>
      <c r="O8">
        <v>6041.1339479420276</v>
      </c>
      <c r="P8">
        <v>2.1848861853067798</v>
      </c>
      <c r="Q8" s="7">
        <v>64.099999999999994</v>
      </c>
      <c r="R8" s="6">
        <v>39.276165123607818</v>
      </c>
      <c r="S8">
        <v>263753500</v>
      </c>
      <c r="T8">
        <v>25958300</v>
      </c>
      <c r="U8" s="7">
        <v>602.76</v>
      </c>
      <c r="V8" s="6">
        <v>-1.3116827011108401</v>
      </c>
      <c r="W8">
        <v>-0.37247639894485501</v>
      </c>
      <c r="X8">
        <v>0.163353562355042</v>
      </c>
      <c r="Y8">
        <v>0.13063965737819699</v>
      </c>
      <c r="Z8" s="7">
        <v>-0.139015212655067</v>
      </c>
      <c r="AA8" s="6">
        <v>0.60774627656548397</v>
      </c>
      <c r="AB8">
        <v>46.192999999999998</v>
      </c>
      <c r="AC8">
        <v>0.249</v>
      </c>
      <c r="AD8" s="7">
        <v>7.91</v>
      </c>
    </row>
    <row r="9" spans="1:30" x14ac:dyDescent="0.3">
      <c r="A9" s="1" t="s">
        <v>5</v>
      </c>
      <c r="B9" s="2">
        <v>2014</v>
      </c>
      <c r="C9" s="4">
        <v>1304</v>
      </c>
      <c r="D9" s="3">
        <v>3608</v>
      </c>
      <c r="E9" s="1">
        <v>2796</v>
      </c>
      <c r="F9">
        <v>8.18</v>
      </c>
      <c r="G9">
        <v>10.029999999999999</v>
      </c>
      <c r="H9" s="7">
        <v>24.4</v>
      </c>
      <c r="I9" s="6">
        <v>183.95</v>
      </c>
      <c r="J9">
        <v>99.5</v>
      </c>
      <c r="K9">
        <v>19398.96</v>
      </c>
      <c r="L9">
        <v>12.803112358805455</v>
      </c>
      <c r="M9" s="4">
        <v>4975455660.4459</v>
      </c>
      <c r="N9">
        <v>0.98446886361942632</v>
      </c>
      <c r="O9">
        <v>5822.3777829531437</v>
      </c>
      <c r="P9">
        <v>1.8951418189878</v>
      </c>
      <c r="Q9" s="7">
        <v>63.3</v>
      </c>
      <c r="R9" s="6">
        <v>39.271467439174771</v>
      </c>
      <c r="S9">
        <v>272487650</v>
      </c>
      <c r="T9">
        <v>25207514</v>
      </c>
      <c r="U9" s="7">
        <v>602.27</v>
      </c>
      <c r="V9" s="6">
        <v>-0.90638631582260099</v>
      </c>
      <c r="W9">
        <v>-0.480519980192184</v>
      </c>
      <c r="X9">
        <v>0.25749933719634999</v>
      </c>
      <c r="Y9">
        <v>0.17480647563934301</v>
      </c>
      <c r="Z9" s="7">
        <v>-0.22025208175182301</v>
      </c>
      <c r="AA9" s="6">
        <v>0.548005164899527</v>
      </c>
      <c r="AB9">
        <v>46.942999999999998</v>
      </c>
      <c r="AC9">
        <v>0.57599999999999996</v>
      </c>
      <c r="AD9" s="7">
        <v>8.0399999999999991</v>
      </c>
    </row>
    <row r="10" spans="1:30" x14ac:dyDescent="0.3">
      <c r="A10" s="1" t="s">
        <v>5</v>
      </c>
      <c r="B10" s="2">
        <v>2015</v>
      </c>
      <c r="C10" s="4">
        <v>1425</v>
      </c>
      <c r="D10" s="3">
        <v>3639</v>
      </c>
      <c r="E10" s="1">
        <v>3165</v>
      </c>
      <c r="F10">
        <v>7.77</v>
      </c>
      <c r="G10">
        <v>7.17</v>
      </c>
      <c r="H10" s="7">
        <v>22.6</v>
      </c>
      <c r="I10" s="6">
        <v>189.98</v>
      </c>
      <c r="J10">
        <v>99.6</v>
      </c>
      <c r="K10">
        <v>19595.39</v>
      </c>
      <c r="L10">
        <v>12.91008748048931</v>
      </c>
      <c r="M10" s="4">
        <v>8927579182.1621704</v>
      </c>
      <c r="N10">
        <v>3.1340472491163496</v>
      </c>
      <c r="O10">
        <v>5708.7940910579819</v>
      </c>
      <c r="P10">
        <v>-0.90042496329156896</v>
      </c>
      <c r="Q10" s="7">
        <v>62.4</v>
      </c>
      <c r="R10" s="6">
        <v>39.266769754741723</v>
      </c>
      <c r="S10">
        <v>277098700</v>
      </c>
      <c r="T10">
        <v>23092220</v>
      </c>
      <c r="U10" s="7">
        <v>598.04</v>
      </c>
      <c r="V10" s="6">
        <v>-0.995044946670532</v>
      </c>
      <c r="W10">
        <v>-0.55555045604705799</v>
      </c>
      <c r="X10">
        <v>0.23839932680129999</v>
      </c>
      <c r="Y10">
        <v>0.19590173661708801</v>
      </c>
      <c r="Z10" s="7">
        <v>-0.188147738575935</v>
      </c>
      <c r="AA10" s="6">
        <v>0.47549651695853101</v>
      </c>
      <c r="AB10">
        <v>47.694000000000003</v>
      </c>
      <c r="AC10">
        <v>0.59699999999999998</v>
      </c>
      <c r="AD10" s="7">
        <v>8.18</v>
      </c>
    </row>
    <row r="11" spans="1:30" x14ac:dyDescent="0.3">
      <c r="A11" s="1" t="s">
        <v>5</v>
      </c>
      <c r="B11" s="2">
        <v>2016</v>
      </c>
      <c r="C11" s="4">
        <v>2451</v>
      </c>
      <c r="D11" s="3">
        <v>3649</v>
      </c>
      <c r="E11" s="1">
        <v>3322</v>
      </c>
      <c r="F11">
        <v>8.94</v>
      </c>
      <c r="G11">
        <v>18.559999999999999</v>
      </c>
      <c r="H11" s="7">
        <v>22.4</v>
      </c>
      <c r="I11" s="6">
        <v>198.21</v>
      </c>
      <c r="J11">
        <v>99.9</v>
      </c>
      <c r="K11">
        <v>19906.96</v>
      </c>
      <c r="L11">
        <v>12.793386313026032</v>
      </c>
      <c r="M11" s="4">
        <v>3486184390.3006902</v>
      </c>
      <c r="N11">
        <v>3.4351577169218217</v>
      </c>
      <c r="O11">
        <v>5854.4639077193979</v>
      </c>
      <c r="P11">
        <v>0.18814970444823401</v>
      </c>
      <c r="Q11" s="7">
        <v>63.9</v>
      </c>
      <c r="R11" s="6">
        <v>39.180645540135842</v>
      </c>
      <c r="S11">
        <v>284045300</v>
      </c>
      <c r="T11">
        <v>24594334</v>
      </c>
      <c r="U11" s="7">
        <v>596.42999999999995</v>
      </c>
      <c r="V11" s="6">
        <v>-0.99130022525787398</v>
      </c>
      <c r="W11">
        <v>-0.45149761438369801</v>
      </c>
      <c r="X11">
        <v>0.22564327716827401</v>
      </c>
      <c r="Y11">
        <v>5.2868694067001301E-2</v>
      </c>
      <c r="Z11" s="7">
        <v>-2.8162339702248601E-2</v>
      </c>
      <c r="AA11" s="6">
        <v>0.443771939293856</v>
      </c>
      <c r="AB11">
        <v>48.448</v>
      </c>
      <c r="AC11">
        <v>0.68799999999999994</v>
      </c>
      <c r="AD11" s="7">
        <v>8.32</v>
      </c>
    </row>
    <row r="12" spans="1:30" x14ac:dyDescent="0.3">
      <c r="A12" s="1" t="s">
        <v>5</v>
      </c>
      <c r="B12" s="2">
        <v>2017</v>
      </c>
      <c r="C12" s="4">
        <v>2702</v>
      </c>
      <c r="D12" s="3">
        <v>3649</v>
      </c>
      <c r="E12" s="1">
        <v>3728</v>
      </c>
      <c r="F12">
        <v>11.11</v>
      </c>
      <c r="G12">
        <v>8.3000000000000007</v>
      </c>
      <c r="H12" s="7">
        <v>22.2</v>
      </c>
      <c r="I12" s="6">
        <v>200.05</v>
      </c>
      <c r="J12">
        <v>99.9</v>
      </c>
      <c r="K12">
        <v>20207.599999999999</v>
      </c>
      <c r="L12">
        <v>12.33562274897395</v>
      </c>
      <c r="M12" s="4">
        <v>8285169819.69135</v>
      </c>
      <c r="N12">
        <v>4.1776810321000966</v>
      </c>
      <c r="O12">
        <v>6436.7896598670259</v>
      </c>
      <c r="P12">
        <v>0.66563189313510596</v>
      </c>
      <c r="Q12" s="7">
        <v>66.2</v>
      </c>
      <c r="R12" s="6">
        <v>39.110180273640118</v>
      </c>
      <c r="S12">
        <v>283347620</v>
      </c>
      <c r="T12">
        <v>25757962</v>
      </c>
      <c r="U12" s="7">
        <v>584.22</v>
      </c>
      <c r="V12" s="6">
        <v>-0.75487935543060303</v>
      </c>
      <c r="W12">
        <v>-0.44577488303184498</v>
      </c>
      <c r="X12">
        <v>0.257611274719238</v>
      </c>
      <c r="Y12">
        <v>7.6896855607628796E-3</v>
      </c>
      <c r="Z12" s="7">
        <v>1.36582739651203E-2</v>
      </c>
      <c r="AA12" s="6">
        <v>0.41152598020106401</v>
      </c>
      <c r="AB12">
        <v>49.2</v>
      </c>
      <c r="AC12">
        <v>0.83</v>
      </c>
      <c r="AD12" s="7">
        <v>8.34</v>
      </c>
    </row>
    <row r="13" spans="1:30" x14ac:dyDescent="0.3">
      <c r="A13" s="1" t="s">
        <v>5</v>
      </c>
      <c r="B13" s="2">
        <v>2018</v>
      </c>
      <c r="C13" s="4">
        <v>2967</v>
      </c>
      <c r="D13" s="3">
        <v>3667</v>
      </c>
      <c r="E13" s="1">
        <v>4037</v>
      </c>
      <c r="F13">
        <v>14.36</v>
      </c>
      <c r="G13">
        <v>10.53</v>
      </c>
      <c r="H13" s="7">
        <v>23.7</v>
      </c>
      <c r="I13" s="6">
        <v>203.34</v>
      </c>
      <c r="J13">
        <v>99.8</v>
      </c>
      <c r="K13">
        <v>20784.78</v>
      </c>
      <c r="L13">
        <v>12.02397218577091</v>
      </c>
      <c r="M13" s="4">
        <v>13747219811.179199</v>
      </c>
      <c r="N13">
        <v>4.222870287460708</v>
      </c>
      <c r="O13">
        <v>7124.5588104140306</v>
      </c>
      <c r="P13">
        <v>1.06389754183015</v>
      </c>
      <c r="Q13" s="7">
        <v>67.099999999999994</v>
      </c>
      <c r="R13" s="6">
        <v>39.039715007144395</v>
      </c>
      <c r="S13">
        <v>288346340</v>
      </c>
      <c r="T13">
        <v>24206020</v>
      </c>
      <c r="U13" s="7">
        <v>568.69000000000005</v>
      </c>
      <c r="V13" s="6">
        <v>-0.79943454265594505</v>
      </c>
      <c r="W13">
        <v>-0.45801872014999401</v>
      </c>
      <c r="X13">
        <v>0.25447398424148598</v>
      </c>
      <c r="Y13">
        <v>-4.40966561436653E-2</v>
      </c>
      <c r="Z13" s="7">
        <v>-4.0775607340037797E-3</v>
      </c>
      <c r="AA13" s="6">
        <v>0.32332135460702899</v>
      </c>
      <c r="AB13">
        <v>49.948999999999998</v>
      </c>
      <c r="AC13">
        <v>0.76600000000000001</v>
      </c>
      <c r="AD13" s="7">
        <v>8.3699999999999992</v>
      </c>
    </row>
    <row r="14" spans="1:30" x14ac:dyDescent="0.3">
      <c r="A14" s="1" t="s">
        <v>5</v>
      </c>
      <c r="B14" s="2">
        <v>2019</v>
      </c>
      <c r="C14" s="4">
        <v>2988</v>
      </c>
      <c r="D14" s="3">
        <v>3667</v>
      </c>
      <c r="E14" s="1">
        <v>4097</v>
      </c>
      <c r="F14">
        <v>14.86</v>
      </c>
      <c r="G14">
        <v>4.32</v>
      </c>
      <c r="H14" s="7">
        <v>23.9</v>
      </c>
      <c r="I14" s="6">
        <v>209.17</v>
      </c>
      <c r="J14">
        <v>99.9</v>
      </c>
      <c r="K14">
        <v>20751.53</v>
      </c>
      <c r="L14">
        <v>12.604156107450581</v>
      </c>
      <c r="M14" s="4">
        <v>5518708214.4825497</v>
      </c>
      <c r="N14">
        <v>2.1145577962827815</v>
      </c>
      <c r="O14">
        <v>7628.5760330735084</v>
      </c>
      <c r="P14">
        <v>0.70672860131431103</v>
      </c>
      <c r="Q14" s="7">
        <v>68.3</v>
      </c>
      <c r="R14" s="6">
        <v>38.969249740648671</v>
      </c>
      <c r="S14">
        <v>281870340</v>
      </c>
      <c r="T14">
        <v>23249862</v>
      </c>
      <c r="U14" s="7">
        <v>563.08000000000004</v>
      </c>
      <c r="V14" s="6">
        <v>-0.49142050743103</v>
      </c>
      <c r="W14">
        <v>-0.47175952792167702</v>
      </c>
      <c r="X14">
        <v>0.26064547896385198</v>
      </c>
      <c r="Y14">
        <v>-2.1945092827081701E-2</v>
      </c>
      <c r="Z14" s="7">
        <v>8.8566415011882796E-2</v>
      </c>
      <c r="AA14" s="6">
        <v>0.25269123727425102</v>
      </c>
      <c r="AB14">
        <v>50.692</v>
      </c>
      <c r="AC14">
        <v>0.71599999999999997</v>
      </c>
      <c r="AD14" s="7">
        <v>8.6999999999999993</v>
      </c>
    </row>
    <row r="15" spans="1:30" x14ac:dyDescent="0.3">
      <c r="A15" s="1" t="s">
        <v>5</v>
      </c>
      <c r="B15" s="2">
        <v>2020</v>
      </c>
      <c r="C15" s="4">
        <v>2984</v>
      </c>
      <c r="D15" s="3">
        <v>3670</v>
      </c>
      <c r="E15" s="1">
        <v>4241</v>
      </c>
      <c r="F15">
        <v>14.21</v>
      </c>
      <c r="G15">
        <v>1.22</v>
      </c>
      <c r="H15" s="7">
        <v>20.9</v>
      </c>
      <c r="I15" s="6">
        <v>203.41</v>
      </c>
      <c r="J15">
        <v>100</v>
      </c>
      <c r="K15">
        <v>19247.93</v>
      </c>
      <c r="L15">
        <v>12.827818805605629</v>
      </c>
      <c r="M15" s="4">
        <v>-4947474466.9795399</v>
      </c>
      <c r="N15">
        <v>-6.0500384685162203</v>
      </c>
      <c r="O15">
        <v>7001.8502868367277</v>
      </c>
      <c r="P15">
        <v>-0.84593714735704095</v>
      </c>
      <c r="Q15" s="7">
        <v>69.400000000000006</v>
      </c>
      <c r="R15" s="6">
        <v>38.898784474152947</v>
      </c>
      <c r="S15">
        <v>271852000</v>
      </c>
      <c r="T15">
        <v>24283644</v>
      </c>
      <c r="U15" s="7">
        <v>571.4</v>
      </c>
      <c r="V15" s="6">
        <v>-0.57827657461166404</v>
      </c>
      <c r="W15">
        <v>-0.48363754153251598</v>
      </c>
      <c r="X15">
        <v>0.20201408863067599</v>
      </c>
      <c r="Y15">
        <v>6.3660755753517206E-2</v>
      </c>
      <c r="Z15" s="7">
        <v>0.109724149107933</v>
      </c>
      <c r="AA15" s="6">
        <v>0.23518286529113799</v>
      </c>
      <c r="AB15">
        <v>51.43</v>
      </c>
      <c r="AC15">
        <v>1.099</v>
      </c>
      <c r="AD15" s="7">
        <v>8.83</v>
      </c>
    </row>
    <row r="16" spans="1:30" x14ac:dyDescent="0.3">
      <c r="A16" s="1" t="s">
        <v>5</v>
      </c>
      <c r="B16" s="2">
        <v>2021</v>
      </c>
      <c r="C16" s="4">
        <v>3065</v>
      </c>
      <c r="D16" s="3">
        <v>3670</v>
      </c>
      <c r="E16" s="1">
        <v>4476</v>
      </c>
      <c r="F16">
        <v>15.01</v>
      </c>
      <c r="G16">
        <v>2.99</v>
      </c>
      <c r="H16" s="7">
        <v>19</v>
      </c>
      <c r="I16" s="6">
        <v>207.75</v>
      </c>
      <c r="J16">
        <v>100</v>
      </c>
      <c r="K16">
        <v>19368.560000000001</v>
      </c>
      <c r="L16">
        <v>12.716954737851619</v>
      </c>
      <c r="M16" s="4">
        <v>15158773772.705799</v>
      </c>
      <c r="N16">
        <v>1.5681817650118575</v>
      </c>
      <c r="O16">
        <v>7070.5125072911187</v>
      </c>
      <c r="P16">
        <v>1.2303954131838399</v>
      </c>
      <c r="Q16" s="7">
        <v>69.7</v>
      </c>
      <c r="R16" s="6">
        <v>38.828319207657223</v>
      </c>
      <c r="S16">
        <v>267219020</v>
      </c>
      <c r="T16">
        <v>24154518</v>
      </c>
      <c r="U16" s="7">
        <v>566.91</v>
      </c>
      <c r="V16" s="6">
        <v>-0.56872618198394798</v>
      </c>
      <c r="W16">
        <v>-0.47834825515747098</v>
      </c>
      <c r="X16">
        <v>0.22119086980819699</v>
      </c>
      <c r="Y16">
        <v>8.3535075187683105E-2</v>
      </c>
      <c r="Z16" s="7">
        <v>9.4890400767326397E-2</v>
      </c>
      <c r="AA16" s="6">
        <v>0.175345074912752</v>
      </c>
      <c r="AB16">
        <v>52.162999999999997</v>
      </c>
      <c r="AC16">
        <v>1.2150000000000001</v>
      </c>
      <c r="AD16" s="7">
        <v>8.83</v>
      </c>
    </row>
    <row r="17" spans="1:30" x14ac:dyDescent="0.3">
      <c r="A17" s="1" t="s">
        <v>5</v>
      </c>
      <c r="B17" s="2">
        <v>2022</v>
      </c>
      <c r="C17" s="4">
        <v>3185</v>
      </c>
      <c r="D17" s="3">
        <v>3670</v>
      </c>
      <c r="E17" s="1">
        <v>4603</v>
      </c>
      <c r="F17">
        <v>15.78</v>
      </c>
      <c r="G17">
        <v>2.0299999999999998</v>
      </c>
      <c r="H17" s="7">
        <f>ROUND(((H15-H14)/H14)*H16+H16,1)</f>
        <v>16.600000000000001</v>
      </c>
      <c r="I17" s="6">
        <v>212.55</v>
      </c>
      <c r="J17">
        <v>99.9</v>
      </c>
      <c r="K17">
        <v>19357.75</v>
      </c>
      <c r="L17">
        <v>12.994545677251077</v>
      </c>
      <c r="M17" s="4">
        <v>11231916012.2157</v>
      </c>
      <c r="N17">
        <v>2.4627693405035558</v>
      </c>
      <c r="O17">
        <v>6913.0508052111873</v>
      </c>
      <c r="P17">
        <v>6.0774122843432101</v>
      </c>
      <c r="Q17" s="7">
        <v>63.2</v>
      </c>
      <c r="R17" s="6">
        <f>((R15-R14)/R14)*R16+R16</f>
        <v>38.758108775617657</v>
      </c>
      <c r="S17">
        <v>270746370</v>
      </c>
      <c r="T17">
        <v>24331598</v>
      </c>
      <c r="U17" s="7">
        <v>560.74</v>
      </c>
      <c r="V17" s="6">
        <v>-0.38309931755065901</v>
      </c>
      <c r="W17">
        <v>-0.45219403505325301</v>
      </c>
      <c r="X17">
        <v>0.12828506529331199</v>
      </c>
      <c r="Y17">
        <v>0.16501940786838501</v>
      </c>
      <c r="Z17" s="7">
        <v>6.7307785153389005E-2</v>
      </c>
      <c r="AA17" s="6">
        <v>0.133884527761643</v>
      </c>
      <c r="AB17">
        <v>52.889000000000003</v>
      </c>
      <c r="AC17">
        <v>0.94</v>
      </c>
      <c r="AD17" s="7">
        <v>8.83</v>
      </c>
    </row>
    <row r="18" spans="1:30" ht="15" thickBot="1" x14ac:dyDescent="0.35">
      <c r="A18" s="1" t="s">
        <v>5</v>
      </c>
      <c r="B18" s="2">
        <v>2023</v>
      </c>
      <c r="C18" s="12">
        <v>3186</v>
      </c>
      <c r="D18" s="13">
        <v>3670</v>
      </c>
      <c r="E18" s="14">
        <v>4705</v>
      </c>
      <c r="F18" s="15">
        <v>15.62</v>
      </c>
      <c r="G18" s="15">
        <v>0.83</v>
      </c>
      <c r="H18" s="16">
        <f>ROUND(((H16-H15)/H15)*H17+H17,1)</f>
        <v>15.1</v>
      </c>
      <c r="I18" s="17">
        <v>219.84</v>
      </c>
      <c r="J18" s="15">
        <f>ROUND(((J17-J16)/J16)*J17+J17,1)</f>
        <v>99.8</v>
      </c>
      <c r="K18" s="15">
        <v>19370.3</v>
      </c>
      <c r="L18" s="15">
        <v>13.696335229111096</v>
      </c>
      <c r="M18" s="12">
        <v>3086425197.5518999</v>
      </c>
      <c r="N18" s="15">
        <v>1.8828174606631478</v>
      </c>
      <c r="O18" s="15">
        <v>7171.8080931897821</v>
      </c>
      <c r="P18" s="15">
        <v>1.22802623546169</v>
      </c>
      <c r="Q18" s="16">
        <v>60.6</v>
      </c>
      <c r="R18" s="17">
        <f>((R16-R15)/R15)*R17+R17</f>
        <v>38.687898343578091</v>
      </c>
      <c r="S18" s="15">
        <f>ROUND(((S17-S16)/S16)*S17+S17,1)</f>
        <v>274320281.80000001</v>
      </c>
      <c r="T18" s="15">
        <f>ROUND(((T17-T16)/T16)*T17+T17,2)</f>
        <v>24509976.199999999</v>
      </c>
      <c r="U18" s="16">
        <v>549.58000000000004</v>
      </c>
      <c r="V18" s="17">
        <f>((V17-V16)/V16)*V17+V17</f>
        <v>-0.25805931176898594</v>
      </c>
      <c r="W18" s="15">
        <f>((W17-W16)/W16)*W17+W17</f>
        <v>-0.42746982587075294</v>
      </c>
      <c r="X18" s="15">
        <f>((X17-X16)/X16)*X17+X17</f>
        <v>7.4402067280534057E-2</v>
      </c>
      <c r="Y18" s="15">
        <f>((Y17-Y16)/Y16)*Y17+Y17</f>
        <v>0.32598767538126983</v>
      </c>
      <c r="Z18" s="16">
        <f>((Z17-Z16)/Z16)*Z17+Z17</f>
        <v>4.7742847597021687E-2</v>
      </c>
      <c r="AA18" s="17">
        <v>0.14529651125027501</v>
      </c>
      <c r="AB18" s="15">
        <v>53.607999999999997</v>
      </c>
      <c r="AC18" s="15">
        <v>0.91300000000000003</v>
      </c>
      <c r="AD18" s="16">
        <f>ROUND(((AD17-AD16)/AD16)*AD17+AD17,2)</f>
        <v>8.83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CDA8-28B7-4BB5-81E5-8E623CDD7DBE}">
  <dimension ref="A1:AD59"/>
  <sheetViews>
    <sheetView tabSelected="1" topLeftCell="T38" workbookViewId="0">
      <selection activeCell="AA58" sqref="AA54:AA58"/>
    </sheetView>
  </sheetViews>
  <sheetFormatPr defaultRowHeight="14.4" x14ac:dyDescent="0.3"/>
  <cols>
    <col min="19" max="19" width="12" bestFit="1" customWidth="1"/>
  </cols>
  <sheetData>
    <row r="1" spans="1:30" x14ac:dyDescent="0.3">
      <c r="A1" s="8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6</v>
      </c>
      <c r="G1" s="10" t="s">
        <v>7</v>
      </c>
      <c r="H1" s="11" t="s">
        <v>8</v>
      </c>
      <c r="I1" s="9" t="s">
        <v>9</v>
      </c>
      <c r="J1" s="10" t="s">
        <v>10</v>
      </c>
      <c r="K1" s="10" t="s">
        <v>11</v>
      </c>
      <c r="L1" s="10" t="s">
        <v>12</v>
      </c>
      <c r="M1" s="9" t="s">
        <v>13</v>
      </c>
      <c r="N1" s="10" t="s">
        <v>14</v>
      </c>
      <c r="O1" s="10" t="s">
        <v>15</v>
      </c>
      <c r="P1" s="10" t="s">
        <v>16</v>
      </c>
      <c r="Q1" s="11" t="s">
        <v>17</v>
      </c>
      <c r="R1" s="9" t="s">
        <v>18</v>
      </c>
      <c r="S1" s="10" t="s">
        <v>19</v>
      </c>
      <c r="T1" s="10" t="s">
        <v>20</v>
      </c>
      <c r="U1" s="11" t="s">
        <v>21</v>
      </c>
      <c r="V1" s="9" t="s">
        <v>22</v>
      </c>
      <c r="W1" s="10" t="s">
        <v>23</v>
      </c>
      <c r="X1" s="10" t="s">
        <v>24</v>
      </c>
      <c r="Y1" s="10" t="s">
        <v>25</v>
      </c>
      <c r="Z1" s="11" t="s">
        <v>26</v>
      </c>
      <c r="AA1" s="9" t="s">
        <v>27</v>
      </c>
      <c r="AB1" s="10" t="s">
        <v>28</v>
      </c>
      <c r="AC1" s="10" t="s">
        <v>29</v>
      </c>
      <c r="AD1" s="11" t="s">
        <v>30</v>
      </c>
    </row>
    <row r="2" spans="1:30" x14ac:dyDescent="0.3">
      <c r="A2" s="1" t="s">
        <v>5</v>
      </c>
      <c r="B2" s="2">
        <v>2007</v>
      </c>
      <c r="C2" s="4">
        <v>32</v>
      </c>
      <c r="D2" s="3">
        <v>3476</v>
      </c>
      <c r="E2" s="1">
        <v>1379</v>
      </c>
      <c r="F2">
        <v>7.31</v>
      </c>
      <c r="G2">
        <v>7.43</v>
      </c>
      <c r="H2" s="5">
        <v>21.6</v>
      </c>
      <c r="I2" s="6">
        <v>146.27000000000001</v>
      </c>
      <c r="J2">
        <v>94.1</v>
      </c>
      <c r="K2">
        <v>16141.03</v>
      </c>
      <c r="L2">
        <v>13.213739396467805</v>
      </c>
      <c r="M2" s="4">
        <v>8633903440.6000004</v>
      </c>
      <c r="N2">
        <v>5.4351516905080928</v>
      </c>
      <c r="O2">
        <v>3934.6909091986258</v>
      </c>
      <c r="P2">
        <v>2.2415409528680201</v>
      </c>
      <c r="Q2" s="7">
        <v>63.5</v>
      </c>
      <c r="R2" s="6">
        <v>38.659006831216111</v>
      </c>
      <c r="S2">
        <v>224082600</v>
      </c>
      <c r="T2">
        <v>22872274</v>
      </c>
      <c r="U2" s="7">
        <v>606.89</v>
      </c>
      <c r="V2" s="6">
        <v>-1.11284792423248</v>
      </c>
      <c r="W2">
        <v>-0.40017232298851002</v>
      </c>
      <c r="X2">
        <v>0.28591948747634899</v>
      </c>
      <c r="Y2">
        <v>8.61985608935356E-2</v>
      </c>
      <c r="Z2" s="7">
        <v>-0.13744048774242401</v>
      </c>
      <c r="AA2" s="6">
        <v>0.76191607845987797</v>
      </c>
      <c r="AB2">
        <v>39.950000000000003</v>
      </c>
      <c r="AC2">
        <v>1.18</v>
      </c>
      <c r="AD2" s="7">
        <v>7.13</v>
      </c>
    </row>
    <row r="3" spans="1:30" x14ac:dyDescent="0.3">
      <c r="A3" s="1" t="s">
        <v>5</v>
      </c>
      <c r="B3" s="2">
        <v>2008</v>
      </c>
      <c r="C3" s="4">
        <v>32</v>
      </c>
      <c r="D3" s="3">
        <v>3481</v>
      </c>
      <c r="E3" s="1">
        <v>1621</v>
      </c>
      <c r="F3">
        <v>6.28</v>
      </c>
      <c r="G3">
        <v>5.03</v>
      </c>
      <c r="H3" s="5">
        <v>22.6</v>
      </c>
      <c r="I3" s="6">
        <v>147.26</v>
      </c>
      <c r="J3">
        <v>94.8</v>
      </c>
      <c r="K3">
        <v>16019.2</v>
      </c>
      <c r="L3">
        <v>13.484896248632412</v>
      </c>
      <c r="M3" s="4">
        <v>8561557724.6000099</v>
      </c>
      <c r="N3">
        <v>1.7256988486633418</v>
      </c>
      <c r="O3">
        <v>4327.7974704039334</v>
      </c>
      <c r="P3">
        <v>5.4684894964984601</v>
      </c>
      <c r="Q3" s="7">
        <v>62.3</v>
      </c>
      <c r="R3" s="6">
        <v>38.869423946446396</v>
      </c>
      <c r="S3">
        <v>224248700</v>
      </c>
      <c r="T3">
        <v>22294292</v>
      </c>
      <c r="U3" s="7">
        <v>608.91</v>
      </c>
      <c r="V3" s="6">
        <v>-1.2720932960510301</v>
      </c>
      <c r="W3">
        <v>-0.44062724709510798</v>
      </c>
      <c r="X3">
        <v>0.15694396197795901</v>
      </c>
      <c r="Y3">
        <v>0.11253724992275201</v>
      </c>
      <c r="Z3" s="7">
        <v>-0.15974041819572399</v>
      </c>
      <c r="AA3" s="6">
        <v>0.74762381126890998</v>
      </c>
      <c r="AB3">
        <v>41.241999999999997</v>
      </c>
      <c r="AC3">
        <v>1.18</v>
      </c>
      <c r="AD3" s="7">
        <v>7.29</v>
      </c>
    </row>
    <row r="4" spans="1:30" x14ac:dyDescent="0.3">
      <c r="A4" s="1" t="s">
        <v>5</v>
      </c>
      <c r="B4" s="2">
        <v>2009</v>
      </c>
      <c r="C4" s="4">
        <v>37</v>
      </c>
      <c r="D4" s="3">
        <v>3488</v>
      </c>
      <c r="E4" s="1">
        <v>1695</v>
      </c>
      <c r="F4">
        <v>6.35</v>
      </c>
      <c r="G4">
        <v>-19.57</v>
      </c>
      <c r="H4" s="5">
        <v>22.8</v>
      </c>
      <c r="I4" s="6">
        <v>147.05000000000001</v>
      </c>
      <c r="J4">
        <v>99</v>
      </c>
      <c r="K4">
        <v>16352.36</v>
      </c>
      <c r="L4">
        <v>13.1570641440694</v>
      </c>
      <c r="M4" s="4">
        <v>6411458544.6000099</v>
      </c>
      <c r="N4">
        <v>-0.69061823230057939</v>
      </c>
      <c r="O4">
        <v>4154.1874470784169</v>
      </c>
      <c r="P4">
        <v>-0.84571609231672096</v>
      </c>
      <c r="Q4" s="7">
        <v>63</v>
      </c>
      <c r="R4" s="6">
        <v>39.079841061676682</v>
      </c>
      <c r="S4">
        <v>228836240</v>
      </c>
      <c r="T4">
        <v>23957610</v>
      </c>
      <c r="U4" s="7">
        <v>605.89</v>
      </c>
      <c r="V4" s="6">
        <v>-1.42447113990784</v>
      </c>
      <c r="W4">
        <v>-0.3320132791996</v>
      </c>
      <c r="X4">
        <v>0.206796795129776</v>
      </c>
      <c r="Y4">
        <v>0.121483989059925</v>
      </c>
      <c r="Z4" s="7">
        <v>-0.260052651166916</v>
      </c>
      <c r="AA4" s="6">
        <v>0.71838136464921099</v>
      </c>
      <c r="AB4">
        <v>42.542999999999999</v>
      </c>
      <c r="AC4">
        <v>1.49</v>
      </c>
      <c r="AD4" s="7">
        <v>7.45</v>
      </c>
    </row>
    <row r="5" spans="1:30" x14ac:dyDescent="0.3">
      <c r="A5" s="1" t="s">
        <v>5</v>
      </c>
      <c r="B5" s="2">
        <v>2010</v>
      </c>
      <c r="C5" s="4">
        <v>49</v>
      </c>
      <c r="D5" s="3">
        <v>3548</v>
      </c>
      <c r="E5" s="1">
        <v>1767</v>
      </c>
      <c r="F5">
        <v>5.57</v>
      </c>
      <c r="G5">
        <v>16.440000000000001</v>
      </c>
      <c r="H5" s="7">
        <v>22.8</v>
      </c>
      <c r="I5" s="6">
        <v>163.51</v>
      </c>
      <c r="J5">
        <v>99.7</v>
      </c>
      <c r="K5">
        <v>17276.060000000001</v>
      </c>
      <c r="L5">
        <v>13.359730041375567</v>
      </c>
      <c r="M5" s="4">
        <v>14746672919.6</v>
      </c>
      <c r="N5">
        <v>7.513390532616242</v>
      </c>
      <c r="O5">
        <v>4996.3720976009063</v>
      </c>
      <c r="P5">
        <v>3.2475884244372302</v>
      </c>
      <c r="Q5" s="7">
        <v>64.099999999999994</v>
      </c>
      <c r="R5" s="6">
        <v>39.290258176906967</v>
      </c>
      <c r="S5">
        <v>241018980</v>
      </c>
      <c r="T5">
        <v>25095798</v>
      </c>
      <c r="U5" s="7">
        <v>606.33000000000004</v>
      </c>
      <c r="V5" s="6">
        <v>-1.44278836250305</v>
      </c>
      <c r="W5">
        <v>-0.36033946275711098</v>
      </c>
      <c r="X5">
        <v>8.3291068673133906E-2</v>
      </c>
      <c r="Y5">
        <v>6.1810683459043503E-2</v>
      </c>
      <c r="Z5" s="7">
        <v>-0.23362262547016099</v>
      </c>
      <c r="AA5" s="6">
        <v>0.67140330392279801</v>
      </c>
      <c r="AB5">
        <v>43.856000000000002</v>
      </c>
      <c r="AC5">
        <v>0.622</v>
      </c>
      <c r="AD5" s="7">
        <v>7.61</v>
      </c>
    </row>
    <row r="6" spans="1:30" x14ac:dyDescent="0.3">
      <c r="A6" s="1" t="s">
        <v>5</v>
      </c>
      <c r="B6" s="2">
        <v>2011</v>
      </c>
      <c r="C6" s="4">
        <v>79</v>
      </c>
      <c r="D6" s="3">
        <v>3560</v>
      </c>
      <c r="E6" s="1">
        <v>1975</v>
      </c>
      <c r="F6">
        <v>7.83</v>
      </c>
      <c r="G6">
        <v>5.24</v>
      </c>
      <c r="H6" s="7">
        <v>23</v>
      </c>
      <c r="I6" s="6">
        <v>162.74</v>
      </c>
      <c r="J6">
        <v>99.3</v>
      </c>
      <c r="K6">
        <v>17645.64</v>
      </c>
      <c r="L6">
        <v>12.643507521773556</v>
      </c>
      <c r="M6" s="4">
        <v>2473685995.6999998</v>
      </c>
      <c r="N6">
        <v>0.84013208305333364</v>
      </c>
      <c r="O6">
        <v>5396.6435857368206</v>
      </c>
      <c r="P6">
        <v>3.8087905813963401</v>
      </c>
      <c r="Q6" s="7">
        <v>64.7</v>
      </c>
      <c r="R6" s="6">
        <v>39.28556049247392</v>
      </c>
      <c r="S6">
        <v>244878160</v>
      </c>
      <c r="T6">
        <v>25252052</v>
      </c>
      <c r="U6" s="7">
        <v>600.98</v>
      </c>
      <c r="V6" s="6">
        <v>-1.13353371620178</v>
      </c>
      <c r="W6">
        <v>-0.35324403643608099</v>
      </c>
      <c r="X6">
        <v>9.9299393594264998E-2</v>
      </c>
      <c r="Y6">
        <v>9.0382799506187397E-2</v>
      </c>
      <c r="Z6" s="7">
        <v>-0.22975252568721799</v>
      </c>
      <c r="AA6" s="6">
        <v>0.64585745072644296</v>
      </c>
      <c r="AB6">
        <v>44.698</v>
      </c>
      <c r="AC6">
        <v>0.66</v>
      </c>
      <c r="AD6" s="7">
        <v>7.71</v>
      </c>
    </row>
    <row r="7" spans="1:30" x14ac:dyDescent="0.3">
      <c r="A7" s="1" t="s">
        <v>5</v>
      </c>
      <c r="B7" s="2">
        <v>2012</v>
      </c>
      <c r="C7" s="4">
        <v>382</v>
      </c>
      <c r="D7" s="3">
        <v>3568</v>
      </c>
      <c r="E7" s="1">
        <v>2196</v>
      </c>
      <c r="F7">
        <v>8.08</v>
      </c>
      <c r="G7">
        <v>12.59</v>
      </c>
      <c r="H7" s="7">
        <v>23.6</v>
      </c>
      <c r="I7" s="6">
        <v>177.58</v>
      </c>
      <c r="J7">
        <v>99.1</v>
      </c>
      <c r="K7">
        <v>18694.71</v>
      </c>
      <c r="L7">
        <v>13.068599317796842</v>
      </c>
      <c r="M7" s="4">
        <v>12899036062.7558</v>
      </c>
      <c r="N7">
        <v>7.2427962024964216</v>
      </c>
      <c r="O7">
        <v>5748.6327206215792</v>
      </c>
      <c r="P7">
        <v>3.0148995033499402</v>
      </c>
      <c r="Q7" s="7">
        <v>64.900000000000006</v>
      </c>
      <c r="R7" s="6">
        <v>39.280862808040865</v>
      </c>
      <c r="S7">
        <v>262347660</v>
      </c>
      <c r="T7">
        <v>25889856</v>
      </c>
      <c r="U7" s="7">
        <v>597.89</v>
      </c>
      <c r="V7" s="6">
        <v>-1.21663069725037</v>
      </c>
      <c r="W7">
        <v>-0.397404074668884</v>
      </c>
      <c r="X7">
        <v>0.13015991449356101</v>
      </c>
      <c r="Y7">
        <v>0.13722421228885701</v>
      </c>
      <c r="Z7" s="7">
        <v>-0.17236910760402699</v>
      </c>
      <c r="AA7" s="6">
        <v>0.64434461278447097</v>
      </c>
      <c r="AB7">
        <v>45.445</v>
      </c>
      <c r="AC7">
        <v>0.57999999999999996</v>
      </c>
      <c r="AD7" s="7">
        <v>7.81</v>
      </c>
    </row>
    <row r="8" spans="1:30" x14ac:dyDescent="0.3">
      <c r="A8" s="1" t="s">
        <v>5</v>
      </c>
      <c r="B8" s="2">
        <v>2013</v>
      </c>
      <c r="C8" s="4">
        <v>829</v>
      </c>
      <c r="D8" s="3">
        <v>3575</v>
      </c>
      <c r="E8" s="1">
        <v>2634</v>
      </c>
      <c r="F8">
        <v>7.5</v>
      </c>
      <c r="G8">
        <v>17.600000000000001</v>
      </c>
      <c r="H8" s="7">
        <v>23.2</v>
      </c>
      <c r="I8" s="6">
        <v>179.93</v>
      </c>
      <c r="J8">
        <v>99.4</v>
      </c>
      <c r="K8">
        <v>18868.78</v>
      </c>
      <c r="L8">
        <v>12.845238639306553</v>
      </c>
      <c r="M8" s="4">
        <v>15935960664.807301</v>
      </c>
      <c r="N8">
        <v>2.6874955632055588</v>
      </c>
      <c r="O8">
        <v>6041.1339479420276</v>
      </c>
      <c r="P8">
        <v>2.1848861853067798</v>
      </c>
      <c r="Q8" s="7">
        <v>64.099999999999994</v>
      </c>
      <c r="R8" s="6">
        <v>39.276165123607818</v>
      </c>
      <c r="S8">
        <v>263753500</v>
      </c>
      <c r="T8">
        <v>25958300</v>
      </c>
      <c r="U8" s="7">
        <v>602.76</v>
      </c>
      <c r="V8" s="6">
        <v>-1.3116827011108401</v>
      </c>
      <c r="W8">
        <v>-0.37247639894485501</v>
      </c>
      <c r="X8">
        <v>0.163353562355042</v>
      </c>
      <c r="Y8">
        <v>0.13063965737819699</v>
      </c>
      <c r="Z8" s="7">
        <v>-0.139015212655067</v>
      </c>
      <c r="AA8" s="6">
        <v>0.60774627656548397</v>
      </c>
      <c r="AB8">
        <v>46.192999999999998</v>
      </c>
      <c r="AC8">
        <v>0.249</v>
      </c>
      <c r="AD8" s="7">
        <v>7.91</v>
      </c>
    </row>
    <row r="9" spans="1:30" x14ac:dyDescent="0.3">
      <c r="A9" s="1" t="s">
        <v>5</v>
      </c>
      <c r="B9" s="2">
        <v>2014</v>
      </c>
      <c r="C9" s="4">
        <v>1304</v>
      </c>
      <c r="D9" s="3">
        <v>3608</v>
      </c>
      <c r="E9" s="1">
        <v>2796</v>
      </c>
      <c r="F9">
        <v>8.18</v>
      </c>
      <c r="G9">
        <v>10.029999999999999</v>
      </c>
      <c r="H9" s="7">
        <v>24.4</v>
      </c>
      <c r="I9" s="6">
        <v>183.95</v>
      </c>
      <c r="J9">
        <v>99.5</v>
      </c>
      <c r="K9">
        <v>19398.96</v>
      </c>
      <c r="L9">
        <v>12.803112358805455</v>
      </c>
      <c r="M9" s="4">
        <v>4975455660.4459</v>
      </c>
      <c r="N9">
        <v>0.98446886361942632</v>
      </c>
      <c r="O9">
        <v>5822.3777829531437</v>
      </c>
      <c r="P9">
        <v>1.8951418189878</v>
      </c>
      <c r="Q9" s="7">
        <v>63.3</v>
      </c>
      <c r="R9" s="6">
        <v>39.271467439174771</v>
      </c>
      <c r="S9">
        <v>272487650</v>
      </c>
      <c r="T9">
        <v>25207514</v>
      </c>
      <c r="U9" s="7">
        <v>602.27</v>
      </c>
      <c r="V9" s="6">
        <v>-0.90638631582260099</v>
      </c>
      <c r="W9">
        <v>-0.480519980192184</v>
      </c>
      <c r="X9">
        <v>0.25749933719634999</v>
      </c>
      <c r="Y9">
        <v>0.17480647563934301</v>
      </c>
      <c r="Z9" s="7">
        <v>-0.22025208175182301</v>
      </c>
      <c r="AA9" s="6">
        <v>0.548005164899527</v>
      </c>
      <c r="AB9">
        <v>46.942999999999998</v>
      </c>
      <c r="AC9">
        <v>0.57599999999999996</v>
      </c>
      <c r="AD9" s="7">
        <v>8.0399999999999991</v>
      </c>
    </row>
    <row r="10" spans="1:30" x14ac:dyDescent="0.3">
      <c r="A10" s="1" t="s">
        <v>5</v>
      </c>
      <c r="B10" s="2">
        <v>2015</v>
      </c>
      <c r="C10" s="4">
        <v>1425</v>
      </c>
      <c r="D10" s="3">
        <v>3639</v>
      </c>
      <c r="E10" s="1">
        <v>3165</v>
      </c>
      <c r="F10">
        <v>7.77</v>
      </c>
      <c r="G10">
        <v>7.17</v>
      </c>
      <c r="H10" s="7">
        <v>22.6</v>
      </c>
      <c r="I10" s="6">
        <v>189.98</v>
      </c>
      <c r="J10">
        <v>99.6</v>
      </c>
      <c r="K10">
        <v>19595.39</v>
      </c>
      <c r="L10">
        <v>12.91008748048931</v>
      </c>
      <c r="M10" s="4">
        <v>8927579182.1621704</v>
      </c>
      <c r="N10">
        <v>3.1340472491163496</v>
      </c>
      <c r="O10">
        <v>5708.7940910579819</v>
      </c>
      <c r="P10">
        <v>-0.90042496329156896</v>
      </c>
      <c r="Q10" s="7">
        <v>62.4</v>
      </c>
      <c r="R10" s="6">
        <v>39.266769754741723</v>
      </c>
      <c r="S10">
        <v>277098700</v>
      </c>
      <c r="T10">
        <v>23092220</v>
      </c>
      <c r="U10" s="7">
        <v>598.04</v>
      </c>
      <c r="V10" s="6">
        <v>-0.995044946670532</v>
      </c>
      <c r="W10">
        <v>-0.55555045604705799</v>
      </c>
      <c r="X10">
        <v>0.23839932680129999</v>
      </c>
      <c r="Y10">
        <v>0.19590173661708801</v>
      </c>
      <c r="Z10" s="7">
        <v>-0.188147738575935</v>
      </c>
      <c r="AA10" s="6">
        <v>0.47549651695853101</v>
      </c>
      <c r="AB10">
        <v>47.694000000000003</v>
      </c>
      <c r="AC10">
        <v>0.59699999999999998</v>
      </c>
      <c r="AD10" s="7">
        <v>8.18</v>
      </c>
    </row>
    <row r="11" spans="1:30" x14ac:dyDescent="0.3">
      <c r="A11" s="1" t="s">
        <v>5</v>
      </c>
      <c r="B11" s="2">
        <v>2016</v>
      </c>
      <c r="C11" s="4">
        <v>2451</v>
      </c>
      <c r="D11" s="3">
        <v>3649</v>
      </c>
      <c r="E11" s="1">
        <v>3322</v>
      </c>
      <c r="F11">
        <v>8.94</v>
      </c>
      <c r="G11">
        <v>18.559999999999999</v>
      </c>
      <c r="H11" s="7">
        <v>22.4</v>
      </c>
      <c r="I11" s="6">
        <v>198.21</v>
      </c>
      <c r="J11">
        <v>99.9</v>
      </c>
      <c r="K11">
        <v>19906.96</v>
      </c>
      <c r="L11">
        <v>12.793386313026032</v>
      </c>
      <c r="M11" s="4">
        <v>3486184390.3006902</v>
      </c>
      <c r="N11">
        <v>3.4351577169218217</v>
      </c>
      <c r="O11">
        <v>5854.4639077193979</v>
      </c>
      <c r="P11">
        <v>0.18814970444823401</v>
      </c>
      <c r="Q11" s="7">
        <v>63.9</v>
      </c>
      <c r="R11" s="6">
        <v>39.180645540135842</v>
      </c>
      <c r="S11">
        <v>284045300</v>
      </c>
      <c r="T11">
        <v>24594334</v>
      </c>
      <c r="U11" s="7">
        <v>596.42999999999995</v>
      </c>
      <c r="V11" s="6">
        <v>-0.99130022525787398</v>
      </c>
      <c r="W11">
        <v>-0.45149761438369801</v>
      </c>
      <c r="X11">
        <v>0.22564327716827401</v>
      </c>
      <c r="Y11">
        <v>5.2868694067001301E-2</v>
      </c>
      <c r="Z11" s="7">
        <v>-2.8162339702248601E-2</v>
      </c>
      <c r="AA11" s="6">
        <v>0.443771939293856</v>
      </c>
      <c r="AB11">
        <v>48.448</v>
      </c>
      <c r="AC11">
        <v>0.68799999999999994</v>
      </c>
      <c r="AD11" s="7">
        <v>8.32</v>
      </c>
    </row>
    <row r="12" spans="1:30" x14ac:dyDescent="0.3">
      <c r="A12" s="1" t="s">
        <v>5</v>
      </c>
      <c r="B12" s="2">
        <v>2017</v>
      </c>
      <c r="C12" s="4">
        <v>2702</v>
      </c>
      <c r="D12" s="3">
        <v>3649</v>
      </c>
      <c r="E12" s="1">
        <v>3728</v>
      </c>
      <c r="F12">
        <v>11.11</v>
      </c>
      <c r="G12">
        <v>8.3000000000000007</v>
      </c>
      <c r="H12" s="7">
        <v>22.2</v>
      </c>
      <c r="I12" s="6">
        <v>200.05</v>
      </c>
      <c r="J12">
        <v>99.9</v>
      </c>
      <c r="K12">
        <v>20207.599999999999</v>
      </c>
      <c r="L12">
        <v>12.33562274897395</v>
      </c>
      <c r="M12" s="4">
        <v>8285169819.69135</v>
      </c>
      <c r="N12">
        <v>4.1776810321000966</v>
      </c>
      <c r="O12">
        <v>6436.7896598670259</v>
      </c>
      <c r="P12">
        <v>0.66563189313510596</v>
      </c>
      <c r="Q12" s="7">
        <v>66.2</v>
      </c>
      <c r="R12" s="6">
        <v>39.110180273640118</v>
      </c>
      <c r="S12">
        <v>283347620</v>
      </c>
      <c r="T12">
        <v>25757962</v>
      </c>
      <c r="U12" s="7">
        <v>584.22</v>
      </c>
      <c r="V12" s="6">
        <v>-0.75487935543060303</v>
      </c>
      <c r="W12">
        <v>-0.44577488303184498</v>
      </c>
      <c r="X12">
        <v>0.257611274719238</v>
      </c>
      <c r="Y12">
        <v>7.6896855607628796E-3</v>
      </c>
      <c r="Z12" s="7">
        <v>1.36582739651203E-2</v>
      </c>
      <c r="AA12" s="6">
        <v>0.41152598020106401</v>
      </c>
      <c r="AB12">
        <v>49.2</v>
      </c>
      <c r="AC12">
        <v>0.83</v>
      </c>
      <c r="AD12" s="7">
        <v>8.34</v>
      </c>
    </row>
    <row r="13" spans="1:30" x14ac:dyDescent="0.3">
      <c r="A13" s="1" t="s">
        <v>5</v>
      </c>
      <c r="B13" s="2">
        <v>2018</v>
      </c>
      <c r="C13" s="4">
        <v>2967</v>
      </c>
      <c r="D13" s="3">
        <v>3667</v>
      </c>
      <c r="E13" s="1">
        <v>4037</v>
      </c>
      <c r="F13">
        <v>14.36</v>
      </c>
      <c r="G13">
        <v>10.53</v>
      </c>
      <c r="H13" s="7">
        <v>23.7</v>
      </c>
      <c r="I13" s="6">
        <v>203.34</v>
      </c>
      <c r="J13">
        <v>99.8</v>
      </c>
      <c r="K13">
        <v>20784.78</v>
      </c>
      <c r="L13">
        <v>12.02397218577091</v>
      </c>
      <c r="M13" s="4">
        <v>13747219811.179199</v>
      </c>
      <c r="N13">
        <v>4.222870287460708</v>
      </c>
      <c r="O13">
        <v>7124.5588104140306</v>
      </c>
      <c r="P13">
        <v>1.06389754183015</v>
      </c>
      <c r="Q13" s="7">
        <v>67.099999999999994</v>
      </c>
      <c r="R13" s="6">
        <v>39.039715007144395</v>
      </c>
      <c r="S13">
        <v>288346340</v>
      </c>
      <c r="T13">
        <v>24206020</v>
      </c>
      <c r="U13" s="7">
        <v>568.69000000000005</v>
      </c>
      <c r="V13" s="6">
        <v>-0.79943454265594505</v>
      </c>
      <c r="W13">
        <v>-0.45801872014999401</v>
      </c>
      <c r="X13">
        <v>0.25447398424148598</v>
      </c>
      <c r="Y13">
        <v>-4.40966561436653E-2</v>
      </c>
      <c r="Z13" s="7">
        <v>-4.0775607340037797E-3</v>
      </c>
      <c r="AA13" s="6">
        <v>0.32332135460702899</v>
      </c>
      <c r="AB13">
        <v>49.948999999999998</v>
      </c>
      <c r="AC13">
        <v>0.76600000000000001</v>
      </c>
      <c r="AD13" s="7">
        <v>8.3699999999999992</v>
      </c>
    </row>
    <row r="14" spans="1:30" x14ac:dyDescent="0.3">
      <c r="A14" s="1" t="s">
        <v>5</v>
      </c>
      <c r="B14" s="2">
        <v>2019</v>
      </c>
      <c r="C14" s="4">
        <v>2988</v>
      </c>
      <c r="D14" s="3">
        <v>3667</v>
      </c>
      <c r="E14" s="1">
        <v>4097</v>
      </c>
      <c r="F14">
        <v>14.86</v>
      </c>
      <c r="G14">
        <v>4.32</v>
      </c>
      <c r="H14" s="7">
        <v>23.9</v>
      </c>
      <c r="I14" s="6">
        <v>209.17</v>
      </c>
      <c r="J14">
        <v>99.9</v>
      </c>
      <c r="K14">
        <v>20751.53</v>
      </c>
      <c r="L14">
        <v>12.604156107450581</v>
      </c>
      <c r="M14" s="4">
        <v>5518708214.4825497</v>
      </c>
      <c r="N14">
        <v>2.1145577962827815</v>
      </c>
      <c r="O14">
        <v>7628.5760330735084</v>
      </c>
      <c r="P14">
        <v>0.70672860131431103</v>
      </c>
      <c r="Q14" s="7">
        <v>68.3</v>
      </c>
      <c r="R14" s="6">
        <v>38.969249740648671</v>
      </c>
      <c r="S14">
        <v>281870340</v>
      </c>
      <c r="T14">
        <v>23249862</v>
      </c>
      <c r="U14" s="7">
        <v>563.08000000000004</v>
      </c>
      <c r="V14" s="6">
        <v>-0.49142050743103</v>
      </c>
      <c r="W14">
        <v>-0.47175952792167702</v>
      </c>
      <c r="X14">
        <v>0.26064547896385198</v>
      </c>
      <c r="Y14">
        <v>-2.1945092827081701E-2</v>
      </c>
      <c r="Z14" s="7">
        <v>8.8566415011882796E-2</v>
      </c>
      <c r="AA14" s="6">
        <v>0.25269123727425102</v>
      </c>
      <c r="AB14">
        <v>50.692</v>
      </c>
      <c r="AC14">
        <v>0.71599999999999997</v>
      </c>
      <c r="AD14" s="7">
        <v>8.6999999999999993</v>
      </c>
    </row>
    <row r="15" spans="1:30" x14ac:dyDescent="0.3">
      <c r="A15" s="1" t="s">
        <v>5</v>
      </c>
      <c r="B15" s="2">
        <v>2020</v>
      </c>
      <c r="C15" s="4">
        <v>2984</v>
      </c>
      <c r="D15" s="3">
        <v>3670</v>
      </c>
      <c r="E15" s="1">
        <v>4241</v>
      </c>
      <c r="F15">
        <v>14.21</v>
      </c>
      <c r="G15">
        <v>1.22</v>
      </c>
      <c r="H15" s="7">
        <v>20.9</v>
      </c>
      <c r="I15" s="6">
        <v>203.41</v>
      </c>
      <c r="J15">
        <v>100</v>
      </c>
      <c r="K15">
        <v>19247.93</v>
      </c>
      <c r="L15">
        <v>12.827818805605629</v>
      </c>
      <c r="M15" s="4">
        <v>-4947474466.9795399</v>
      </c>
      <c r="N15">
        <v>-6.0500384685162203</v>
      </c>
      <c r="O15">
        <v>7001.8502868367277</v>
      </c>
      <c r="P15">
        <v>-0.84593714735704095</v>
      </c>
      <c r="Q15" s="7">
        <v>69.400000000000006</v>
      </c>
      <c r="R15" s="6">
        <v>38.898784474152947</v>
      </c>
      <c r="S15">
        <v>271852000</v>
      </c>
      <c r="T15">
        <v>24283644</v>
      </c>
      <c r="U15" s="7">
        <v>571.4</v>
      </c>
      <c r="V15" s="6">
        <v>-0.57827657461166404</v>
      </c>
      <c r="W15">
        <v>-0.48363754153251598</v>
      </c>
      <c r="X15">
        <v>0.20201408863067599</v>
      </c>
      <c r="Y15">
        <v>6.3660755753517206E-2</v>
      </c>
      <c r="Z15" s="7">
        <v>0.109724149107933</v>
      </c>
      <c r="AA15" s="6">
        <v>0.23518286529113799</v>
      </c>
      <c r="AB15">
        <v>51.43</v>
      </c>
      <c r="AC15">
        <v>1.099</v>
      </c>
      <c r="AD15" s="7">
        <v>8.83</v>
      </c>
    </row>
    <row r="16" spans="1:30" x14ac:dyDescent="0.3">
      <c r="A16" s="1" t="s">
        <v>5</v>
      </c>
      <c r="B16" s="2">
        <v>2021</v>
      </c>
      <c r="C16" s="4">
        <v>3065</v>
      </c>
      <c r="D16" s="3">
        <v>3670</v>
      </c>
      <c r="E16" s="1">
        <v>4476</v>
      </c>
      <c r="F16">
        <v>15.01</v>
      </c>
      <c r="G16">
        <v>2.99</v>
      </c>
      <c r="H16" s="7">
        <v>19</v>
      </c>
      <c r="I16" s="6">
        <v>207.75</v>
      </c>
      <c r="J16">
        <v>100</v>
      </c>
      <c r="K16">
        <v>19368.560000000001</v>
      </c>
      <c r="L16">
        <v>12.716954737851619</v>
      </c>
      <c r="M16" s="4">
        <v>15158773772.705799</v>
      </c>
      <c r="N16">
        <v>1.5681817650118575</v>
      </c>
      <c r="O16">
        <v>7070.5125072911187</v>
      </c>
      <c r="P16">
        <v>1.2303954131838399</v>
      </c>
      <c r="Q16" s="7">
        <v>69.7</v>
      </c>
      <c r="R16" s="6">
        <v>38.828319207657223</v>
      </c>
      <c r="S16">
        <v>267219020</v>
      </c>
      <c r="T16">
        <v>24154518</v>
      </c>
      <c r="U16" s="7">
        <v>566.91</v>
      </c>
      <c r="V16" s="6">
        <v>-0.56872618198394798</v>
      </c>
      <c r="W16">
        <v>-0.47834825515747098</v>
      </c>
      <c r="X16">
        <v>0.22119086980819699</v>
      </c>
      <c r="Y16">
        <v>8.3535075187683105E-2</v>
      </c>
      <c r="Z16" s="7">
        <v>9.4890400767326397E-2</v>
      </c>
      <c r="AA16" s="6">
        <v>0.175345074912752</v>
      </c>
      <c r="AB16">
        <v>52.162999999999997</v>
      </c>
      <c r="AC16">
        <v>1.2150000000000001</v>
      </c>
      <c r="AD16" s="7">
        <v>8.83</v>
      </c>
    </row>
    <row r="17" spans="1:30" x14ac:dyDescent="0.3">
      <c r="A17" s="1" t="s">
        <v>5</v>
      </c>
      <c r="B17" s="2">
        <v>2022</v>
      </c>
      <c r="C17" s="4">
        <v>3185</v>
      </c>
      <c r="D17" s="3">
        <v>3670</v>
      </c>
      <c r="E17" s="1">
        <v>4603</v>
      </c>
      <c r="F17">
        <v>15.78</v>
      </c>
      <c r="G17">
        <v>2.0299999999999998</v>
      </c>
      <c r="H17" s="7">
        <f>ROUND(((H15-H14)/H14)*H16+H16,1)</f>
        <v>16.600000000000001</v>
      </c>
      <c r="I17" s="6">
        <v>212.55</v>
      </c>
      <c r="J17">
        <v>99.9</v>
      </c>
      <c r="K17">
        <v>19357.75</v>
      </c>
      <c r="L17">
        <v>12.994545677251077</v>
      </c>
      <c r="M17" s="4">
        <v>11231916012.2157</v>
      </c>
      <c r="N17">
        <v>2.4627693405035558</v>
      </c>
      <c r="O17">
        <v>6913.0508052111873</v>
      </c>
      <c r="P17">
        <v>6.0774122843432101</v>
      </c>
      <c r="Q17" s="7">
        <v>63.2</v>
      </c>
      <c r="R17" s="6">
        <f>((R15-R14)/R14)*R16+R16</f>
        <v>38.758108775617657</v>
      </c>
      <c r="S17">
        <v>270746370</v>
      </c>
      <c r="T17">
        <v>24331598</v>
      </c>
      <c r="U17" s="7">
        <v>560.74</v>
      </c>
      <c r="V17" s="6">
        <v>-0.38309931755065901</v>
      </c>
      <c r="W17">
        <v>-0.45219403505325301</v>
      </c>
      <c r="X17">
        <v>0.12828506529331199</v>
      </c>
      <c r="Y17">
        <v>0.16501940786838501</v>
      </c>
      <c r="Z17" s="7">
        <v>6.7307785153389005E-2</v>
      </c>
      <c r="AA17" s="6">
        <v>0.133884527761643</v>
      </c>
      <c r="AB17">
        <v>52.889000000000003</v>
      </c>
      <c r="AC17">
        <v>0.94</v>
      </c>
      <c r="AD17" s="7">
        <v>8.83</v>
      </c>
    </row>
    <row r="18" spans="1:30" ht="15" thickBot="1" x14ac:dyDescent="0.35">
      <c r="A18" s="1" t="s">
        <v>5</v>
      </c>
      <c r="B18" s="2">
        <v>2023</v>
      </c>
      <c r="C18" s="12">
        <v>3186</v>
      </c>
      <c r="D18" s="13">
        <v>3670</v>
      </c>
      <c r="E18" s="14">
        <v>4705</v>
      </c>
      <c r="F18" s="15">
        <v>15.62</v>
      </c>
      <c r="G18" s="15">
        <v>0.83</v>
      </c>
      <c r="H18" s="16">
        <f>ROUND(((H16-H15)/H15)*H17+H17,1)</f>
        <v>15.1</v>
      </c>
      <c r="I18" s="17">
        <v>219.84</v>
      </c>
      <c r="J18" s="15">
        <f>ROUND(((J17-J16)/J16)*J17+J17,1)</f>
        <v>99.8</v>
      </c>
      <c r="K18" s="15">
        <v>19370.3</v>
      </c>
      <c r="L18" s="15">
        <v>13.696335229111096</v>
      </c>
      <c r="M18" s="12">
        <v>3086425197.5518999</v>
      </c>
      <c r="N18" s="15">
        <v>1.8828174606631478</v>
      </c>
      <c r="O18" s="15">
        <v>7171.8080931897821</v>
      </c>
      <c r="P18" s="15">
        <v>1.22802623546169</v>
      </c>
      <c r="Q18" s="16">
        <v>60.6</v>
      </c>
      <c r="R18" s="17">
        <f>((R16-R15)/R15)*R17+R17</f>
        <v>38.687898343578091</v>
      </c>
      <c r="S18" s="15">
        <f>ROUND(((S17-S16)/S16)*S17+S17,1)</f>
        <v>274320281.80000001</v>
      </c>
      <c r="T18" s="15">
        <f>ROUND(((T17-T16)/T16)*T17+T17,2)</f>
        <v>24509976.199999999</v>
      </c>
      <c r="U18" s="16">
        <v>549.58000000000004</v>
      </c>
      <c r="V18" s="17">
        <f>((V17-V16)/V16)*V17+V17</f>
        <v>-0.25805931176898594</v>
      </c>
      <c r="W18" s="15">
        <f>((W17-W16)/W16)*W17+W17</f>
        <v>-0.42746982587075294</v>
      </c>
      <c r="X18" s="15">
        <f>((X17-X16)/X16)*X17+X17</f>
        <v>7.4402067280534057E-2</v>
      </c>
      <c r="Y18" s="15">
        <f>((Y17-Y16)/Y16)*Y17+Y17</f>
        <v>0.32598767538126983</v>
      </c>
      <c r="Z18" s="16">
        <f>((Z17-Z16)/Z16)*Z17+Z17</f>
        <v>4.7742847597021687E-2</v>
      </c>
      <c r="AA18" s="17">
        <v>0.14529651125027501</v>
      </c>
      <c r="AB18" s="15">
        <v>53.607999999999997</v>
      </c>
      <c r="AC18" s="15">
        <v>0.91300000000000003</v>
      </c>
      <c r="AD18" s="16">
        <f>ROUND(((AD17-AD16)/AD16)*AD17+AD17,2)</f>
        <v>8.83</v>
      </c>
    </row>
    <row r="20" spans="1:30" ht="15" thickBot="1" x14ac:dyDescent="0.35"/>
    <row r="21" spans="1:30" x14ac:dyDescent="0.3">
      <c r="A21" s="9" t="s">
        <v>2</v>
      </c>
      <c r="B21" s="10" t="s">
        <v>14</v>
      </c>
      <c r="C21" s="10" t="s">
        <v>15</v>
      </c>
      <c r="D21" s="10" t="s">
        <v>16</v>
      </c>
      <c r="E21" s="11" t="s">
        <v>17</v>
      </c>
      <c r="F21" s="9" t="s">
        <v>13</v>
      </c>
      <c r="G21" s="10" t="s">
        <v>6</v>
      </c>
      <c r="H21" s="10" t="s">
        <v>7</v>
      </c>
      <c r="I21" s="11" t="s">
        <v>8</v>
      </c>
      <c r="J21" s="9" t="s">
        <v>9</v>
      </c>
      <c r="K21" s="10" t="s">
        <v>10</v>
      </c>
      <c r="L21" s="10" t="s">
        <v>12</v>
      </c>
      <c r="M21" s="10" t="s">
        <v>11</v>
      </c>
      <c r="N21" s="10" t="s">
        <v>19</v>
      </c>
      <c r="O21" s="10" t="s">
        <v>20</v>
      </c>
      <c r="P21" s="9" t="s">
        <v>18</v>
      </c>
      <c r="Q21" s="11" t="s">
        <v>21</v>
      </c>
      <c r="R21" s="9" t="s">
        <v>22</v>
      </c>
      <c r="S21" s="10" t="s">
        <v>23</v>
      </c>
      <c r="T21" s="10" t="s">
        <v>24</v>
      </c>
      <c r="U21" s="10" t="s">
        <v>25</v>
      </c>
      <c r="V21" s="11" t="s">
        <v>26</v>
      </c>
      <c r="W21" s="9" t="s">
        <v>27</v>
      </c>
      <c r="X21" s="10" t="s">
        <v>28</v>
      </c>
      <c r="Y21" s="10" t="s">
        <v>29</v>
      </c>
      <c r="Z21" s="11" t="s">
        <v>30</v>
      </c>
    </row>
    <row r="22" spans="1:30" x14ac:dyDescent="0.3">
      <c r="A22" s="4">
        <v>32</v>
      </c>
      <c r="B22">
        <v>5.4351516905080928</v>
      </c>
      <c r="C22">
        <v>3934.6909091986258</v>
      </c>
      <c r="D22">
        <v>2.2415409528680201</v>
      </c>
      <c r="E22" s="7">
        <v>63.5</v>
      </c>
      <c r="F22" s="4">
        <v>8633903440.6000004</v>
      </c>
      <c r="G22">
        <v>7.31</v>
      </c>
      <c r="H22">
        <v>7.43</v>
      </c>
      <c r="I22" s="5">
        <v>21.6</v>
      </c>
      <c r="J22" s="6">
        <v>146.27000000000001</v>
      </c>
      <c r="K22">
        <v>94.1</v>
      </c>
      <c r="L22">
        <v>13.213739396467805</v>
      </c>
      <c r="M22">
        <v>16141.03</v>
      </c>
      <c r="N22">
        <v>224082600</v>
      </c>
      <c r="O22">
        <v>22872274</v>
      </c>
      <c r="P22" s="6">
        <v>38.659006831216111</v>
      </c>
      <c r="Q22" s="7">
        <v>606.89</v>
      </c>
      <c r="R22" s="6">
        <v>-1.11284792423248</v>
      </c>
      <c r="S22">
        <v>-0.40017232298851002</v>
      </c>
      <c r="T22">
        <v>0.28591948747634899</v>
      </c>
      <c r="U22">
        <v>8.61985608935356E-2</v>
      </c>
      <c r="V22" s="7">
        <v>-0.13744048774242401</v>
      </c>
      <c r="W22" s="6">
        <v>0.76191607845987797</v>
      </c>
      <c r="X22">
        <v>39.950000000000003</v>
      </c>
      <c r="Y22">
        <v>1.18</v>
      </c>
      <c r="Z22" s="7">
        <v>7.13</v>
      </c>
    </row>
    <row r="23" spans="1:30" x14ac:dyDescent="0.3">
      <c r="A23" s="4">
        <v>32</v>
      </c>
      <c r="B23">
        <v>1.7256988486633418</v>
      </c>
      <c r="C23">
        <v>4327.7974704039334</v>
      </c>
      <c r="D23">
        <v>5.4684894964984601</v>
      </c>
      <c r="E23" s="7">
        <v>62.3</v>
      </c>
      <c r="F23" s="4">
        <v>8561557724.6000099</v>
      </c>
      <c r="G23">
        <v>6.28</v>
      </c>
      <c r="H23">
        <v>5.03</v>
      </c>
      <c r="I23" s="5">
        <v>22.6</v>
      </c>
      <c r="J23" s="6">
        <v>147.26</v>
      </c>
      <c r="K23">
        <v>94.8</v>
      </c>
      <c r="L23">
        <v>13.484896248632412</v>
      </c>
      <c r="M23">
        <v>16019.2</v>
      </c>
      <c r="N23">
        <v>224248700</v>
      </c>
      <c r="O23">
        <v>22294292</v>
      </c>
      <c r="P23" s="6">
        <v>38.869423946446396</v>
      </c>
      <c r="Q23" s="7">
        <v>608.91</v>
      </c>
      <c r="R23" s="6">
        <v>-1.2720932960510301</v>
      </c>
      <c r="S23">
        <v>-0.44062724709510798</v>
      </c>
      <c r="T23">
        <v>0.15694396197795901</v>
      </c>
      <c r="U23">
        <v>0.11253724992275201</v>
      </c>
      <c r="V23" s="7">
        <v>-0.15974041819572399</v>
      </c>
      <c r="W23" s="6">
        <v>0.74762381126890998</v>
      </c>
      <c r="X23">
        <v>41.241999999999997</v>
      </c>
      <c r="Y23">
        <v>1.18</v>
      </c>
      <c r="Z23" s="7">
        <v>7.29</v>
      </c>
    </row>
    <row r="24" spans="1:30" x14ac:dyDescent="0.3">
      <c r="A24" s="4">
        <v>37</v>
      </c>
      <c r="B24">
        <v>-0.69061823230057939</v>
      </c>
      <c r="C24">
        <v>4154.1874470784169</v>
      </c>
      <c r="D24">
        <v>-0.84571609231672096</v>
      </c>
      <c r="E24" s="7">
        <v>63</v>
      </c>
      <c r="F24" s="4">
        <v>6411458544.6000099</v>
      </c>
      <c r="G24">
        <v>6.35</v>
      </c>
      <c r="H24">
        <v>-19.57</v>
      </c>
      <c r="I24" s="5">
        <v>22.8</v>
      </c>
      <c r="J24" s="6">
        <v>147.05000000000001</v>
      </c>
      <c r="K24">
        <v>99</v>
      </c>
      <c r="L24">
        <v>13.1570641440694</v>
      </c>
      <c r="M24">
        <v>16352.36</v>
      </c>
      <c r="N24">
        <v>228836240</v>
      </c>
      <c r="O24">
        <v>23957610</v>
      </c>
      <c r="P24" s="6">
        <v>39.079841061676682</v>
      </c>
      <c r="Q24" s="7">
        <v>605.89</v>
      </c>
      <c r="R24" s="6">
        <v>-1.42447113990784</v>
      </c>
      <c r="S24">
        <v>-0.3320132791996</v>
      </c>
      <c r="T24">
        <v>0.206796795129776</v>
      </c>
      <c r="U24">
        <v>0.121483989059925</v>
      </c>
      <c r="V24" s="7">
        <v>-0.260052651166916</v>
      </c>
      <c r="W24" s="6">
        <v>0.71838136464921099</v>
      </c>
      <c r="X24">
        <v>42.542999999999999</v>
      </c>
      <c r="Y24">
        <v>1.49</v>
      </c>
      <c r="Z24" s="7">
        <v>7.45</v>
      </c>
    </row>
    <row r="25" spans="1:30" x14ac:dyDescent="0.3">
      <c r="A25" s="4">
        <v>49</v>
      </c>
      <c r="B25">
        <v>7.513390532616242</v>
      </c>
      <c r="C25">
        <v>4996.3720976009063</v>
      </c>
      <c r="D25">
        <v>3.2475884244372302</v>
      </c>
      <c r="E25" s="7">
        <v>64.099999999999994</v>
      </c>
      <c r="F25" s="4">
        <v>14746672919.6</v>
      </c>
      <c r="G25">
        <v>5.57</v>
      </c>
      <c r="H25">
        <v>16.440000000000001</v>
      </c>
      <c r="I25" s="7">
        <v>22.8</v>
      </c>
      <c r="J25" s="6">
        <v>163.51</v>
      </c>
      <c r="K25">
        <v>99.7</v>
      </c>
      <c r="L25">
        <v>13.359730041375567</v>
      </c>
      <c r="M25">
        <v>17276.060000000001</v>
      </c>
      <c r="N25">
        <v>241018980</v>
      </c>
      <c r="O25">
        <v>25095798</v>
      </c>
      <c r="P25" s="6">
        <v>39.290258176906967</v>
      </c>
      <c r="Q25" s="7">
        <v>606.33000000000004</v>
      </c>
      <c r="R25" s="6">
        <v>-1.44278836250305</v>
      </c>
      <c r="S25">
        <v>-0.36033946275711098</v>
      </c>
      <c r="T25">
        <v>8.3291068673133906E-2</v>
      </c>
      <c r="U25">
        <v>6.1810683459043503E-2</v>
      </c>
      <c r="V25" s="7">
        <v>-0.23362262547016099</v>
      </c>
      <c r="W25" s="6">
        <v>0.67140330392279801</v>
      </c>
      <c r="X25">
        <v>43.856000000000002</v>
      </c>
      <c r="Y25">
        <v>0.622</v>
      </c>
      <c r="Z25" s="7">
        <v>7.61</v>
      </c>
    </row>
    <row r="26" spans="1:30" x14ac:dyDescent="0.3">
      <c r="A26" s="4">
        <v>79</v>
      </c>
      <c r="B26">
        <v>0.84013208305333364</v>
      </c>
      <c r="C26">
        <v>5396.6435857368206</v>
      </c>
      <c r="D26">
        <v>3.8087905813963401</v>
      </c>
      <c r="E26" s="7">
        <v>64.7</v>
      </c>
      <c r="F26" s="4">
        <v>2473685995.6999998</v>
      </c>
      <c r="G26">
        <v>7.83</v>
      </c>
      <c r="H26">
        <v>5.24</v>
      </c>
      <c r="I26" s="7">
        <v>23</v>
      </c>
      <c r="J26" s="6">
        <v>162.74</v>
      </c>
      <c r="K26">
        <v>99.3</v>
      </c>
      <c r="L26">
        <v>12.643507521773556</v>
      </c>
      <c r="M26">
        <v>17645.64</v>
      </c>
      <c r="N26">
        <v>244878160</v>
      </c>
      <c r="O26">
        <v>25252052</v>
      </c>
      <c r="P26" s="6">
        <v>39.28556049247392</v>
      </c>
      <c r="Q26" s="7">
        <v>600.98</v>
      </c>
      <c r="R26" s="6">
        <v>-1.13353371620178</v>
      </c>
      <c r="S26">
        <v>-0.35324403643608099</v>
      </c>
      <c r="T26">
        <v>9.9299393594264998E-2</v>
      </c>
      <c r="U26">
        <v>9.0382799506187397E-2</v>
      </c>
      <c r="V26" s="7">
        <v>-0.22975252568721799</v>
      </c>
      <c r="W26" s="6">
        <v>0.64585745072644296</v>
      </c>
      <c r="X26">
        <v>44.698</v>
      </c>
      <c r="Y26">
        <v>0.66</v>
      </c>
      <c r="Z26" s="7">
        <v>7.71</v>
      </c>
    </row>
    <row r="27" spans="1:30" x14ac:dyDescent="0.3">
      <c r="A27" s="4">
        <v>382</v>
      </c>
      <c r="B27">
        <v>7.2427962024964216</v>
      </c>
      <c r="C27">
        <v>5748.6327206215792</v>
      </c>
      <c r="D27">
        <v>3.0148995033499402</v>
      </c>
      <c r="E27" s="7">
        <v>64.900000000000006</v>
      </c>
      <c r="F27" s="4">
        <v>12899036062.7558</v>
      </c>
      <c r="G27">
        <v>8.08</v>
      </c>
      <c r="H27">
        <v>12.59</v>
      </c>
      <c r="I27" s="7">
        <v>23.6</v>
      </c>
      <c r="J27" s="6">
        <v>177.58</v>
      </c>
      <c r="K27">
        <v>99.1</v>
      </c>
      <c r="L27">
        <v>13.068599317796842</v>
      </c>
      <c r="M27">
        <v>18694.71</v>
      </c>
      <c r="N27">
        <v>262347660</v>
      </c>
      <c r="O27">
        <v>25889856</v>
      </c>
      <c r="P27" s="6">
        <v>39.280862808040865</v>
      </c>
      <c r="Q27" s="7">
        <v>597.89</v>
      </c>
      <c r="R27" s="6">
        <v>-1.21663069725037</v>
      </c>
      <c r="S27">
        <v>-0.397404074668884</v>
      </c>
      <c r="T27">
        <v>0.13015991449356101</v>
      </c>
      <c r="U27">
        <v>0.13722421228885701</v>
      </c>
      <c r="V27" s="7">
        <v>-0.17236910760402699</v>
      </c>
      <c r="W27" s="6">
        <v>0.64434461278447097</v>
      </c>
      <c r="X27">
        <v>45.445</v>
      </c>
      <c r="Y27">
        <v>0.57999999999999996</v>
      </c>
      <c r="Z27" s="7">
        <v>7.81</v>
      </c>
    </row>
    <row r="28" spans="1:30" x14ac:dyDescent="0.3">
      <c r="A28" s="4">
        <v>829</v>
      </c>
      <c r="B28">
        <v>2.6874955632055588</v>
      </c>
      <c r="C28">
        <v>6041.1339479420276</v>
      </c>
      <c r="D28">
        <v>2.1848861853067798</v>
      </c>
      <c r="E28" s="7">
        <v>64.099999999999994</v>
      </c>
      <c r="F28" s="4">
        <v>15935960664.807301</v>
      </c>
      <c r="G28">
        <v>7.5</v>
      </c>
      <c r="H28">
        <v>17.600000000000001</v>
      </c>
      <c r="I28" s="7">
        <v>23.2</v>
      </c>
      <c r="J28" s="6">
        <v>179.93</v>
      </c>
      <c r="K28">
        <v>99.4</v>
      </c>
      <c r="L28">
        <v>12.845238639306553</v>
      </c>
      <c r="M28">
        <v>18868.78</v>
      </c>
      <c r="N28">
        <v>263753500</v>
      </c>
      <c r="O28">
        <v>25958300</v>
      </c>
      <c r="P28" s="6">
        <v>39.276165123607818</v>
      </c>
      <c r="Q28" s="7">
        <v>602.76</v>
      </c>
      <c r="R28" s="6">
        <v>-1.3116827011108401</v>
      </c>
      <c r="S28">
        <v>-0.37247639894485501</v>
      </c>
      <c r="T28">
        <v>0.163353562355042</v>
      </c>
      <c r="U28">
        <v>0.13063965737819699</v>
      </c>
      <c r="V28" s="7">
        <v>-0.139015212655067</v>
      </c>
      <c r="W28" s="6">
        <v>0.60774627656548397</v>
      </c>
      <c r="X28">
        <v>46.192999999999998</v>
      </c>
      <c r="Y28">
        <v>0.249</v>
      </c>
      <c r="Z28" s="7">
        <v>7.91</v>
      </c>
    </row>
    <row r="29" spans="1:30" x14ac:dyDescent="0.3">
      <c r="A29" s="4">
        <v>1304</v>
      </c>
      <c r="B29">
        <v>0.98446886361942632</v>
      </c>
      <c r="C29">
        <v>5822.3777829531437</v>
      </c>
      <c r="D29">
        <v>1.8951418189878</v>
      </c>
      <c r="E29" s="7">
        <v>63.3</v>
      </c>
      <c r="F29" s="4">
        <v>4975455660.4459</v>
      </c>
      <c r="G29">
        <v>8.18</v>
      </c>
      <c r="H29">
        <v>10.029999999999999</v>
      </c>
      <c r="I29" s="7">
        <v>24.4</v>
      </c>
      <c r="J29" s="6">
        <v>183.95</v>
      </c>
      <c r="K29">
        <v>99.5</v>
      </c>
      <c r="L29">
        <v>12.803112358805455</v>
      </c>
      <c r="M29">
        <v>19398.96</v>
      </c>
      <c r="N29">
        <v>272487650</v>
      </c>
      <c r="O29">
        <v>25207514</v>
      </c>
      <c r="P29" s="6">
        <v>39.271467439174771</v>
      </c>
      <c r="Q29" s="7">
        <v>602.27</v>
      </c>
      <c r="R29" s="6">
        <v>-0.90638631582260099</v>
      </c>
      <c r="S29">
        <v>-0.480519980192184</v>
      </c>
      <c r="T29">
        <v>0.25749933719634999</v>
      </c>
      <c r="U29">
        <v>0.17480647563934301</v>
      </c>
      <c r="V29" s="7">
        <v>-0.22025208175182301</v>
      </c>
      <c r="W29" s="6">
        <v>0.548005164899527</v>
      </c>
      <c r="X29">
        <v>46.942999999999998</v>
      </c>
      <c r="Y29">
        <v>0.57599999999999996</v>
      </c>
      <c r="Z29" s="7">
        <v>8.0399999999999991</v>
      </c>
    </row>
    <row r="30" spans="1:30" x14ac:dyDescent="0.3">
      <c r="A30" s="4">
        <v>1425</v>
      </c>
      <c r="B30">
        <v>3.1340472491163496</v>
      </c>
      <c r="C30">
        <v>5708.7940910579819</v>
      </c>
      <c r="D30">
        <v>-0.90042496329156896</v>
      </c>
      <c r="E30" s="7">
        <v>62.4</v>
      </c>
      <c r="F30" s="4">
        <v>8927579182.1621704</v>
      </c>
      <c r="G30">
        <v>7.77</v>
      </c>
      <c r="H30">
        <v>7.17</v>
      </c>
      <c r="I30" s="7">
        <v>22.6</v>
      </c>
      <c r="J30" s="6">
        <v>189.98</v>
      </c>
      <c r="K30">
        <v>99.6</v>
      </c>
      <c r="L30">
        <v>12.91008748048931</v>
      </c>
      <c r="M30">
        <v>19595.39</v>
      </c>
      <c r="N30">
        <v>277098700</v>
      </c>
      <c r="O30">
        <v>23092220</v>
      </c>
      <c r="P30" s="6">
        <v>39.266769754741723</v>
      </c>
      <c r="Q30" s="7">
        <v>598.04</v>
      </c>
      <c r="R30" s="6">
        <v>-0.995044946670532</v>
      </c>
      <c r="S30">
        <v>-0.55555045604705799</v>
      </c>
      <c r="T30">
        <v>0.23839932680129999</v>
      </c>
      <c r="U30">
        <v>0.19590173661708801</v>
      </c>
      <c r="V30" s="7">
        <v>-0.188147738575935</v>
      </c>
      <c r="W30" s="6">
        <v>0.47549651695853101</v>
      </c>
      <c r="X30">
        <v>47.694000000000003</v>
      </c>
      <c r="Y30">
        <v>0.59699999999999998</v>
      </c>
      <c r="Z30" s="7">
        <v>8.18</v>
      </c>
    </row>
    <row r="31" spans="1:30" x14ac:dyDescent="0.3">
      <c r="A31" s="4">
        <v>2451</v>
      </c>
      <c r="B31">
        <v>3.4351577169218217</v>
      </c>
      <c r="C31">
        <v>5854.4639077193979</v>
      </c>
      <c r="D31">
        <v>0.18814970444823401</v>
      </c>
      <c r="E31" s="7">
        <v>63.9</v>
      </c>
      <c r="F31" s="4">
        <v>3486184390.3006902</v>
      </c>
      <c r="G31">
        <v>8.94</v>
      </c>
      <c r="H31">
        <v>18.559999999999999</v>
      </c>
      <c r="I31" s="7">
        <v>22.4</v>
      </c>
      <c r="J31" s="6">
        <v>198.21</v>
      </c>
      <c r="K31">
        <v>99.9</v>
      </c>
      <c r="L31">
        <v>12.793386313026032</v>
      </c>
      <c r="M31">
        <v>19906.96</v>
      </c>
      <c r="N31">
        <v>284045300</v>
      </c>
      <c r="O31">
        <v>24594334</v>
      </c>
      <c r="P31" s="6">
        <v>39.180645540135842</v>
      </c>
      <c r="Q31" s="7">
        <v>596.42999999999995</v>
      </c>
      <c r="R31" s="6">
        <v>-0.99130022525787398</v>
      </c>
      <c r="S31">
        <v>-0.45149761438369801</v>
      </c>
      <c r="T31">
        <v>0.22564327716827401</v>
      </c>
      <c r="U31">
        <v>5.2868694067001301E-2</v>
      </c>
      <c r="V31" s="7">
        <v>-2.8162339702248601E-2</v>
      </c>
      <c r="W31" s="6">
        <v>0.443771939293856</v>
      </c>
      <c r="X31">
        <v>48.448</v>
      </c>
      <c r="Y31">
        <v>0.68799999999999994</v>
      </c>
      <c r="Z31" s="7">
        <v>8.32</v>
      </c>
    </row>
    <row r="32" spans="1:30" x14ac:dyDescent="0.3">
      <c r="A32" s="4">
        <v>2702</v>
      </c>
      <c r="B32">
        <v>4.1776810321000966</v>
      </c>
      <c r="C32">
        <v>6436.7896598670259</v>
      </c>
      <c r="D32">
        <v>0.66563189313510596</v>
      </c>
      <c r="E32" s="7">
        <v>66.2</v>
      </c>
      <c r="F32" s="4">
        <v>8285169819.69135</v>
      </c>
      <c r="G32">
        <v>11.11</v>
      </c>
      <c r="H32">
        <v>8.3000000000000007</v>
      </c>
      <c r="I32" s="7">
        <v>22.2</v>
      </c>
      <c r="J32" s="6">
        <v>200.05</v>
      </c>
      <c r="K32">
        <v>99.9</v>
      </c>
      <c r="L32">
        <v>12.33562274897395</v>
      </c>
      <c r="M32">
        <v>20207.599999999999</v>
      </c>
      <c r="N32">
        <v>283347620</v>
      </c>
      <c r="O32">
        <v>25757962</v>
      </c>
      <c r="P32" s="6">
        <v>39.110180273640118</v>
      </c>
      <c r="Q32" s="7">
        <v>584.22</v>
      </c>
      <c r="R32" s="6">
        <v>-0.75487935543060303</v>
      </c>
      <c r="S32">
        <v>-0.44577488303184498</v>
      </c>
      <c r="T32">
        <v>0.257611274719238</v>
      </c>
      <c r="U32">
        <v>7.6896855607628796E-3</v>
      </c>
      <c r="V32" s="7">
        <v>1.36582739651203E-2</v>
      </c>
      <c r="W32" s="6">
        <v>0.41152598020106401</v>
      </c>
      <c r="X32">
        <v>49.2</v>
      </c>
      <c r="Y32">
        <v>0.83</v>
      </c>
      <c r="Z32" s="7">
        <v>8.34</v>
      </c>
    </row>
    <row r="33" spans="1:27" x14ac:dyDescent="0.3">
      <c r="A33" s="4">
        <v>2967</v>
      </c>
      <c r="B33">
        <v>4.222870287460708</v>
      </c>
      <c r="C33">
        <v>7124.5588104140306</v>
      </c>
      <c r="D33">
        <v>1.06389754183015</v>
      </c>
      <c r="E33" s="7">
        <v>67.099999999999994</v>
      </c>
      <c r="F33" s="4">
        <v>13747219811.179199</v>
      </c>
      <c r="G33">
        <v>14.36</v>
      </c>
      <c r="H33">
        <v>10.53</v>
      </c>
      <c r="I33" s="7">
        <v>23.7</v>
      </c>
      <c r="J33" s="6">
        <v>203.34</v>
      </c>
      <c r="K33">
        <v>99.8</v>
      </c>
      <c r="L33">
        <v>12.02397218577091</v>
      </c>
      <c r="M33">
        <v>20784.78</v>
      </c>
      <c r="N33">
        <v>288346340</v>
      </c>
      <c r="O33">
        <v>24206020</v>
      </c>
      <c r="P33" s="6">
        <v>39.039715007144395</v>
      </c>
      <c r="Q33" s="7">
        <v>568.69000000000005</v>
      </c>
      <c r="R33" s="6">
        <v>-0.79943454265594505</v>
      </c>
      <c r="S33">
        <v>-0.45801872014999401</v>
      </c>
      <c r="T33">
        <v>0.25447398424148598</v>
      </c>
      <c r="U33">
        <v>-4.40966561436653E-2</v>
      </c>
      <c r="V33" s="7">
        <v>-4.0775607340037797E-3</v>
      </c>
      <c r="W33" s="6">
        <v>0.32332135460702899</v>
      </c>
      <c r="X33">
        <v>49.948999999999998</v>
      </c>
      <c r="Y33">
        <v>0.76600000000000001</v>
      </c>
      <c r="Z33" s="7">
        <v>8.3699999999999992</v>
      </c>
    </row>
    <row r="34" spans="1:27" x14ac:dyDescent="0.3">
      <c r="A34" s="4">
        <v>2988</v>
      </c>
      <c r="B34">
        <v>2.1145577962827815</v>
      </c>
      <c r="C34">
        <v>7628.5760330735084</v>
      </c>
      <c r="D34">
        <v>0.70672860131431103</v>
      </c>
      <c r="E34" s="7">
        <v>68.3</v>
      </c>
      <c r="F34" s="4">
        <v>5518708214.4825497</v>
      </c>
      <c r="G34">
        <v>14.86</v>
      </c>
      <c r="H34">
        <v>4.32</v>
      </c>
      <c r="I34" s="7">
        <v>23.9</v>
      </c>
      <c r="J34" s="6">
        <v>209.17</v>
      </c>
      <c r="K34">
        <v>99.9</v>
      </c>
      <c r="L34">
        <v>12.604156107450581</v>
      </c>
      <c r="M34">
        <v>20751.53</v>
      </c>
      <c r="N34">
        <v>281870340</v>
      </c>
      <c r="O34">
        <v>23249862</v>
      </c>
      <c r="P34" s="6">
        <v>38.969249740648671</v>
      </c>
      <c r="Q34" s="7">
        <v>563.08000000000004</v>
      </c>
      <c r="R34" s="6">
        <v>-0.49142050743103</v>
      </c>
      <c r="S34">
        <v>-0.47175952792167702</v>
      </c>
      <c r="T34">
        <v>0.26064547896385198</v>
      </c>
      <c r="U34">
        <v>-2.1945092827081701E-2</v>
      </c>
      <c r="V34" s="7">
        <v>8.8566415011882796E-2</v>
      </c>
      <c r="W34" s="6">
        <v>0.25269123727425102</v>
      </c>
      <c r="X34">
        <v>50.692</v>
      </c>
      <c r="Y34">
        <v>0.71599999999999997</v>
      </c>
      <c r="Z34" s="7">
        <v>8.6999999999999993</v>
      </c>
    </row>
    <row r="35" spans="1:27" x14ac:dyDescent="0.3">
      <c r="A35" s="4">
        <v>2984</v>
      </c>
      <c r="B35">
        <v>-6.0500384685162203</v>
      </c>
      <c r="C35">
        <v>7001.8502868367277</v>
      </c>
      <c r="D35">
        <v>-0.84593714735704095</v>
      </c>
      <c r="E35" s="7">
        <v>69.400000000000006</v>
      </c>
      <c r="F35" s="4">
        <v>-4947474466.9795399</v>
      </c>
      <c r="G35">
        <v>14.21</v>
      </c>
      <c r="H35">
        <v>1.22</v>
      </c>
      <c r="I35" s="7">
        <v>20.9</v>
      </c>
      <c r="J35" s="6">
        <v>203.41</v>
      </c>
      <c r="K35">
        <v>100</v>
      </c>
      <c r="L35">
        <v>12.827818805605629</v>
      </c>
      <c r="M35">
        <v>19247.93</v>
      </c>
      <c r="N35">
        <v>271852000</v>
      </c>
      <c r="O35">
        <v>24283644</v>
      </c>
      <c r="P35" s="6">
        <v>38.898784474152947</v>
      </c>
      <c r="Q35" s="7">
        <v>571.4</v>
      </c>
      <c r="R35" s="6">
        <v>-0.57827657461166404</v>
      </c>
      <c r="S35">
        <v>-0.48363754153251598</v>
      </c>
      <c r="T35">
        <v>0.20201408863067599</v>
      </c>
      <c r="U35">
        <v>6.3660755753517206E-2</v>
      </c>
      <c r="V35" s="7">
        <v>0.109724149107933</v>
      </c>
      <c r="W35" s="6">
        <v>0.23518286529113799</v>
      </c>
      <c r="X35">
        <v>51.43</v>
      </c>
      <c r="Y35">
        <v>1.099</v>
      </c>
      <c r="Z35" s="7">
        <v>8.83</v>
      </c>
    </row>
    <row r="36" spans="1:27" x14ac:dyDescent="0.3">
      <c r="A36" s="4">
        <v>3065</v>
      </c>
      <c r="B36">
        <v>1.5681817650118575</v>
      </c>
      <c r="C36">
        <v>7070.5125072911187</v>
      </c>
      <c r="D36">
        <v>1.2303954131838399</v>
      </c>
      <c r="E36" s="7">
        <v>69.7</v>
      </c>
      <c r="F36" s="4">
        <v>15158773772.705799</v>
      </c>
      <c r="G36">
        <v>15.01</v>
      </c>
      <c r="H36">
        <v>2.99</v>
      </c>
      <c r="I36" s="7">
        <v>19</v>
      </c>
      <c r="J36" s="6">
        <v>207.75</v>
      </c>
      <c r="K36">
        <v>100</v>
      </c>
      <c r="L36">
        <v>12.716954737851619</v>
      </c>
      <c r="M36">
        <v>19368.560000000001</v>
      </c>
      <c r="N36">
        <v>267219020</v>
      </c>
      <c r="O36">
        <v>24154518</v>
      </c>
      <c r="P36" s="6">
        <v>38.828319207657223</v>
      </c>
      <c r="Q36" s="7">
        <v>566.91</v>
      </c>
      <c r="R36" s="6">
        <v>-0.56872618198394798</v>
      </c>
      <c r="S36">
        <v>-0.47834825515747098</v>
      </c>
      <c r="T36">
        <v>0.22119086980819699</v>
      </c>
      <c r="U36">
        <v>8.3535075187683105E-2</v>
      </c>
      <c r="V36" s="7">
        <v>9.4890400767326397E-2</v>
      </c>
      <c r="W36" s="6">
        <v>0.175345074912752</v>
      </c>
      <c r="X36">
        <v>52.162999999999997</v>
      </c>
      <c r="Y36">
        <v>1.2150000000000001</v>
      </c>
      <c r="Z36" s="7">
        <v>8.83</v>
      </c>
    </row>
    <row r="37" spans="1:27" x14ac:dyDescent="0.3">
      <c r="A37" s="4">
        <v>3185</v>
      </c>
      <c r="B37">
        <v>2.4627693405035558</v>
      </c>
      <c r="C37">
        <v>6913.0508052111873</v>
      </c>
      <c r="D37">
        <v>6.0774122843432101</v>
      </c>
      <c r="E37" s="7">
        <v>63.2</v>
      </c>
      <c r="F37" s="4">
        <v>11231916012.2157</v>
      </c>
      <c r="G37">
        <v>15.78</v>
      </c>
      <c r="H37">
        <v>2.0299999999999998</v>
      </c>
      <c r="I37" s="7">
        <f>ROUND(((I35-I34)/I34)*I36+I36,1)</f>
        <v>16.600000000000001</v>
      </c>
      <c r="J37" s="6">
        <v>212.55</v>
      </c>
      <c r="K37">
        <v>99.9</v>
      </c>
      <c r="L37">
        <v>12.994545677251077</v>
      </c>
      <c r="M37">
        <v>19357.75</v>
      </c>
      <c r="N37">
        <v>270746370</v>
      </c>
      <c r="O37">
        <v>24331598</v>
      </c>
      <c r="P37" s="6">
        <f>((P35-P34)/P34)*P36+P36</f>
        <v>38.758108775617657</v>
      </c>
      <c r="Q37" s="7">
        <v>560.74</v>
      </c>
      <c r="R37" s="6">
        <v>-0.38309931755065901</v>
      </c>
      <c r="S37">
        <v>-0.45219403505325301</v>
      </c>
      <c r="T37">
        <v>0.12828506529331199</v>
      </c>
      <c r="U37">
        <v>0.16501940786838501</v>
      </c>
      <c r="V37" s="7">
        <v>6.7307785153389005E-2</v>
      </c>
      <c r="W37" s="6">
        <v>0.133884527761643</v>
      </c>
      <c r="X37">
        <v>52.889000000000003</v>
      </c>
      <c r="Y37">
        <v>0.94</v>
      </c>
      <c r="Z37" s="7">
        <v>8.83</v>
      </c>
    </row>
    <row r="38" spans="1:27" ht="15" thickBot="1" x14ac:dyDescent="0.35">
      <c r="A38" s="12">
        <v>3186</v>
      </c>
      <c r="B38" s="15">
        <v>1.8828174606631478</v>
      </c>
      <c r="C38" s="15">
        <v>7171.8080931897821</v>
      </c>
      <c r="D38" s="15">
        <v>1.22802623546169</v>
      </c>
      <c r="E38" s="16">
        <v>60.6</v>
      </c>
      <c r="F38" s="12">
        <v>3086425197.5518999</v>
      </c>
      <c r="G38" s="15">
        <v>15.62</v>
      </c>
      <c r="H38" s="15">
        <v>0.83</v>
      </c>
      <c r="I38" s="16">
        <f>ROUND(((I36-I35)/I35)*I37+I37,1)</f>
        <v>15.1</v>
      </c>
      <c r="J38" s="17">
        <v>219.84</v>
      </c>
      <c r="K38" s="15">
        <f>ROUND(((K37-K36)/K36)*K37+K37,1)</f>
        <v>99.8</v>
      </c>
      <c r="L38" s="15">
        <v>13.696335229111096</v>
      </c>
      <c r="M38" s="15">
        <v>19370.3</v>
      </c>
      <c r="N38" s="15">
        <f>ROUND(((N37-N36)/N36)*N37+N37,1)</f>
        <v>274320281.80000001</v>
      </c>
      <c r="O38" s="15">
        <f>ROUND(((O37-O36)/O36)*O37+O37,2)</f>
        <v>24509976.199999999</v>
      </c>
      <c r="P38" s="17">
        <f>((P36-P35)/P35)*P37+P37</f>
        <v>38.687898343578091</v>
      </c>
      <c r="Q38" s="16">
        <v>549.58000000000004</v>
      </c>
      <c r="R38" s="17">
        <f>((R37-R36)/R36)*R37+R37</f>
        <v>-0.25805931176898594</v>
      </c>
      <c r="S38" s="15">
        <f>((S37-S36)/S36)*S37+S37</f>
        <v>-0.42746982587075294</v>
      </c>
      <c r="T38" s="15">
        <f>((T37-T36)/T36)*T37+T37</f>
        <v>7.4402067280534057E-2</v>
      </c>
      <c r="U38" s="15">
        <f>((U37-U36)/U36)*U37+U37</f>
        <v>0.32598767538126983</v>
      </c>
      <c r="V38" s="16">
        <f>((V37-V36)/V36)*V37+V37</f>
        <v>4.7742847597021687E-2</v>
      </c>
      <c r="W38" s="17">
        <v>0.14529651125027501</v>
      </c>
      <c r="X38" s="15">
        <v>53.607999999999997</v>
      </c>
      <c r="Y38" s="15">
        <v>0.91300000000000003</v>
      </c>
      <c r="Z38" s="16">
        <f>ROUND(((Z37-Z36)/Z36)*Z37+Z37,2)</f>
        <v>8.83</v>
      </c>
    </row>
    <row r="40" spans="1:27" ht="15" thickBot="1" x14ac:dyDescent="0.35"/>
    <row r="41" spans="1:27" x14ac:dyDescent="0.3">
      <c r="A41" s="9" t="s">
        <v>2</v>
      </c>
      <c r="B41" s="10" t="s">
        <v>14</v>
      </c>
      <c r="C41" s="10" t="s">
        <v>15</v>
      </c>
      <c r="D41" s="10" t="s">
        <v>16</v>
      </c>
      <c r="E41" s="11" t="s">
        <v>17</v>
      </c>
      <c r="F41" s="9" t="s">
        <v>13</v>
      </c>
      <c r="G41" s="10" t="s">
        <v>6</v>
      </c>
      <c r="H41" s="10" t="s">
        <v>7</v>
      </c>
      <c r="I41" s="11" t="s">
        <v>8</v>
      </c>
      <c r="J41" s="9" t="s">
        <v>9</v>
      </c>
      <c r="K41" s="10" t="s">
        <v>10</v>
      </c>
      <c r="L41" s="10" t="s">
        <v>12</v>
      </c>
      <c r="M41" s="10" t="s">
        <v>11</v>
      </c>
      <c r="N41" s="10" t="s">
        <v>19</v>
      </c>
      <c r="O41" s="10" t="s">
        <v>20</v>
      </c>
      <c r="P41" s="9" t="s">
        <v>18</v>
      </c>
      <c r="Q41" s="11" t="s">
        <v>21</v>
      </c>
      <c r="R41" s="9" t="s">
        <v>22</v>
      </c>
      <c r="S41" s="10" t="s">
        <v>23</v>
      </c>
      <c r="T41" s="10" t="s">
        <v>24</v>
      </c>
      <c r="U41" s="10" t="s">
        <v>25</v>
      </c>
      <c r="V41" s="11" t="s">
        <v>26</v>
      </c>
      <c r="W41" s="9" t="s">
        <v>27</v>
      </c>
      <c r="X41" s="10" t="s">
        <v>28</v>
      </c>
      <c r="Y41" s="10" t="s">
        <v>29</v>
      </c>
      <c r="Z41" s="11" t="s">
        <v>30</v>
      </c>
      <c r="AA41" s="18" t="s">
        <v>32</v>
      </c>
    </row>
    <row r="42" spans="1:27" x14ac:dyDescent="0.3">
      <c r="A42" s="4">
        <v>32</v>
      </c>
      <c r="B42">
        <v>5.4351516905080928</v>
      </c>
      <c r="C42">
        <v>3934.6909091986258</v>
      </c>
      <c r="D42">
        <v>2.2415409528680201</v>
      </c>
      <c r="E42" s="7">
        <v>63.5</v>
      </c>
      <c r="F42" s="4">
        <v>8633903440.6000004</v>
      </c>
      <c r="G42">
        <v>7.31</v>
      </c>
      <c r="H42">
        <v>7.43</v>
      </c>
      <c r="I42" s="5">
        <v>21.6</v>
      </c>
      <c r="J42" s="6">
        <v>146.27000000000001</v>
      </c>
      <c r="K42">
        <v>94.1</v>
      </c>
      <c r="L42">
        <v>13.213739396467805</v>
      </c>
      <c r="M42">
        <v>16141.03</v>
      </c>
      <c r="N42">
        <v>224082600</v>
      </c>
      <c r="O42">
        <v>22872274</v>
      </c>
      <c r="P42" s="6">
        <v>38.659006831216111</v>
      </c>
      <c r="Q42" s="7">
        <v>606.89</v>
      </c>
      <c r="R42" s="6">
        <v>-1.11284792423248</v>
      </c>
      <c r="S42">
        <v>-0.40017232298851002</v>
      </c>
      <c r="T42">
        <v>0.28591948747634899</v>
      </c>
      <c r="U42">
        <v>8.61985608935356E-2</v>
      </c>
      <c r="V42" s="7">
        <v>-0.13744048774242401</v>
      </c>
      <c r="W42" s="6">
        <v>0.76191607845987797</v>
      </c>
      <c r="X42">
        <v>39.950000000000003</v>
      </c>
      <c r="Y42">
        <v>1.18</v>
      </c>
      <c r="Z42" s="7">
        <v>7.13</v>
      </c>
    </row>
    <row r="43" spans="1:27" x14ac:dyDescent="0.3">
      <c r="A43" s="4">
        <v>32</v>
      </c>
      <c r="B43">
        <v>1.7256988486633418</v>
      </c>
      <c r="C43">
        <v>4327.7974704039334</v>
      </c>
      <c r="D43">
        <v>5.4684894964984601</v>
      </c>
      <c r="E43" s="7">
        <v>62.3</v>
      </c>
      <c r="F43" s="4">
        <v>8561557724.6000099</v>
      </c>
      <c r="G43">
        <v>6.28</v>
      </c>
      <c r="H43">
        <v>5.03</v>
      </c>
      <c r="I43" s="5">
        <v>22.6</v>
      </c>
      <c r="J43" s="6">
        <v>147.26</v>
      </c>
      <c r="K43">
        <v>94.8</v>
      </c>
      <c r="L43">
        <v>13.484896248632412</v>
      </c>
      <c r="M43">
        <v>16019.2</v>
      </c>
      <c r="N43">
        <v>224248700</v>
      </c>
      <c r="O43">
        <v>22294292</v>
      </c>
      <c r="P43" s="6">
        <v>38.869423946446396</v>
      </c>
      <c r="Q43" s="7">
        <v>608.91</v>
      </c>
      <c r="R43" s="6">
        <v>-1.2720932960510301</v>
      </c>
      <c r="S43">
        <v>-0.44062724709510798</v>
      </c>
      <c r="T43">
        <v>0.15694396197795901</v>
      </c>
      <c r="U43">
        <v>0.11253724992275201</v>
      </c>
      <c r="V43" s="7">
        <v>-0.15974041819572399</v>
      </c>
      <c r="W43" s="6">
        <v>0.74762381126890998</v>
      </c>
      <c r="X43">
        <v>41.241999999999997</v>
      </c>
      <c r="Y43">
        <v>1.18</v>
      </c>
      <c r="Z43" s="7">
        <v>7.29</v>
      </c>
      <c r="AA43" s="4">
        <v>32</v>
      </c>
    </row>
    <row r="44" spans="1:27" x14ac:dyDescent="0.3">
      <c r="A44" s="4">
        <v>37</v>
      </c>
      <c r="B44">
        <v>-0.69061823230057939</v>
      </c>
      <c r="C44">
        <v>4154.1874470784169</v>
      </c>
      <c r="D44">
        <v>-0.84571609231672096</v>
      </c>
      <c r="E44" s="7">
        <v>63</v>
      </c>
      <c r="F44" s="4">
        <v>6411458544.6000099</v>
      </c>
      <c r="G44">
        <v>6.35</v>
      </c>
      <c r="H44">
        <v>-19.57</v>
      </c>
      <c r="I44" s="5">
        <v>22.8</v>
      </c>
      <c r="J44" s="6">
        <v>147.05000000000001</v>
      </c>
      <c r="K44">
        <v>99</v>
      </c>
      <c r="L44">
        <v>13.1570641440694</v>
      </c>
      <c r="M44">
        <v>16352.36</v>
      </c>
      <c r="N44">
        <v>228836240</v>
      </c>
      <c r="O44">
        <v>23957610</v>
      </c>
      <c r="P44" s="6">
        <v>39.079841061676682</v>
      </c>
      <c r="Q44" s="7">
        <v>605.89</v>
      </c>
      <c r="R44" s="6">
        <v>-1.42447113990784</v>
      </c>
      <c r="S44">
        <v>-0.3320132791996</v>
      </c>
      <c r="T44">
        <v>0.206796795129776</v>
      </c>
      <c r="U44">
        <v>0.121483989059925</v>
      </c>
      <c r="V44" s="7">
        <v>-0.260052651166916</v>
      </c>
      <c r="W44" s="6">
        <v>0.71838136464921099</v>
      </c>
      <c r="X44">
        <v>42.542999999999999</v>
      </c>
      <c r="Y44">
        <v>1.49</v>
      </c>
      <c r="Z44" s="7">
        <v>7.45</v>
      </c>
      <c r="AA44" s="4">
        <v>32</v>
      </c>
    </row>
    <row r="45" spans="1:27" x14ac:dyDescent="0.3">
      <c r="A45" s="4">
        <v>49</v>
      </c>
      <c r="B45">
        <v>7.513390532616242</v>
      </c>
      <c r="C45">
        <v>4996.3720976009063</v>
      </c>
      <c r="D45">
        <v>3.2475884244372302</v>
      </c>
      <c r="E45" s="7">
        <v>64.099999999999994</v>
      </c>
      <c r="F45" s="4">
        <v>14746672919.6</v>
      </c>
      <c r="G45">
        <v>5.57</v>
      </c>
      <c r="H45">
        <v>16.440000000000001</v>
      </c>
      <c r="I45" s="7">
        <v>22.8</v>
      </c>
      <c r="J45" s="6">
        <v>163.51</v>
      </c>
      <c r="K45">
        <v>99.7</v>
      </c>
      <c r="L45">
        <v>13.359730041375567</v>
      </c>
      <c r="M45">
        <v>17276.060000000001</v>
      </c>
      <c r="N45">
        <v>241018980</v>
      </c>
      <c r="O45">
        <v>25095798</v>
      </c>
      <c r="P45" s="6">
        <v>39.290258176906967</v>
      </c>
      <c r="Q45" s="7">
        <v>606.33000000000004</v>
      </c>
      <c r="R45" s="6">
        <v>-1.44278836250305</v>
      </c>
      <c r="S45">
        <v>-0.36033946275711098</v>
      </c>
      <c r="T45">
        <v>8.3291068673133906E-2</v>
      </c>
      <c r="U45">
        <v>6.1810683459043503E-2</v>
      </c>
      <c r="V45" s="7">
        <v>-0.23362262547016099</v>
      </c>
      <c r="W45" s="6">
        <v>0.67140330392279801</v>
      </c>
      <c r="X45">
        <v>43.856000000000002</v>
      </c>
      <c r="Y45">
        <v>0.622</v>
      </c>
      <c r="Z45" s="7">
        <v>7.61</v>
      </c>
      <c r="AA45" s="4">
        <v>37</v>
      </c>
    </row>
    <row r="46" spans="1:27" x14ac:dyDescent="0.3">
      <c r="A46" s="4">
        <v>79</v>
      </c>
      <c r="B46">
        <v>0.84013208305333364</v>
      </c>
      <c r="C46">
        <v>5396.6435857368206</v>
      </c>
      <c r="D46">
        <v>3.8087905813963401</v>
      </c>
      <c r="E46" s="7">
        <v>64.7</v>
      </c>
      <c r="F46" s="4">
        <v>2473685995.6999998</v>
      </c>
      <c r="G46">
        <v>7.83</v>
      </c>
      <c r="H46">
        <v>5.24</v>
      </c>
      <c r="I46" s="7">
        <v>23</v>
      </c>
      <c r="J46" s="6">
        <v>162.74</v>
      </c>
      <c r="K46">
        <v>99.3</v>
      </c>
      <c r="L46">
        <v>12.643507521773556</v>
      </c>
      <c r="M46">
        <v>17645.64</v>
      </c>
      <c r="N46">
        <v>244878160</v>
      </c>
      <c r="O46">
        <v>25252052</v>
      </c>
      <c r="P46" s="6">
        <v>39.28556049247392</v>
      </c>
      <c r="Q46" s="7">
        <v>600.98</v>
      </c>
      <c r="R46" s="6">
        <v>-1.13353371620178</v>
      </c>
      <c r="S46">
        <v>-0.35324403643608099</v>
      </c>
      <c r="T46">
        <v>9.9299393594264998E-2</v>
      </c>
      <c r="U46">
        <v>9.0382799506187397E-2</v>
      </c>
      <c r="V46" s="7">
        <v>-0.22975252568721799</v>
      </c>
      <c r="W46" s="6">
        <v>0.64585745072644296</v>
      </c>
      <c r="X46">
        <v>44.698</v>
      </c>
      <c r="Y46">
        <v>0.66</v>
      </c>
      <c r="Z46" s="7">
        <v>7.71</v>
      </c>
      <c r="AA46" s="4">
        <v>49</v>
      </c>
    </row>
    <row r="47" spans="1:27" x14ac:dyDescent="0.3">
      <c r="A47" s="4">
        <v>382</v>
      </c>
      <c r="B47">
        <v>7.2427962024964216</v>
      </c>
      <c r="C47">
        <v>5748.6327206215792</v>
      </c>
      <c r="D47">
        <v>3.0148995033499402</v>
      </c>
      <c r="E47" s="7">
        <v>64.900000000000006</v>
      </c>
      <c r="F47" s="4">
        <v>12899036062.7558</v>
      </c>
      <c r="G47">
        <v>8.08</v>
      </c>
      <c r="H47">
        <v>12.59</v>
      </c>
      <c r="I47" s="7">
        <v>23.6</v>
      </c>
      <c r="J47" s="6">
        <v>177.58</v>
      </c>
      <c r="K47">
        <v>99.1</v>
      </c>
      <c r="L47">
        <v>13.068599317796842</v>
      </c>
      <c r="M47">
        <v>18694.71</v>
      </c>
      <c r="N47">
        <v>262347660</v>
      </c>
      <c r="O47">
        <v>25889856</v>
      </c>
      <c r="P47" s="6">
        <v>39.280862808040865</v>
      </c>
      <c r="Q47" s="7">
        <v>597.89</v>
      </c>
      <c r="R47" s="6">
        <v>-1.21663069725037</v>
      </c>
      <c r="S47">
        <v>-0.397404074668884</v>
      </c>
      <c r="T47">
        <v>0.13015991449356101</v>
      </c>
      <c r="U47">
        <v>0.13722421228885701</v>
      </c>
      <c r="V47" s="7">
        <v>-0.17236910760402699</v>
      </c>
      <c r="W47" s="6">
        <v>0.64434461278447097</v>
      </c>
      <c r="X47">
        <v>45.445</v>
      </c>
      <c r="Y47">
        <v>0.57999999999999996</v>
      </c>
      <c r="Z47" s="7">
        <v>7.81</v>
      </c>
      <c r="AA47" s="4">
        <v>79</v>
      </c>
    </row>
    <row r="48" spans="1:27" x14ac:dyDescent="0.3">
      <c r="A48" s="4">
        <v>829</v>
      </c>
      <c r="B48">
        <v>2.6874955632055588</v>
      </c>
      <c r="C48">
        <v>6041.1339479420276</v>
      </c>
      <c r="D48">
        <v>2.1848861853067798</v>
      </c>
      <c r="E48" s="7">
        <v>64.099999999999994</v>
      </c>
      <c r="F48" s="4">
        <v>15935960664.807301</v>
      </c>
      <c r="G48">
        <v>7.5</v>
      </c>
      <c r="H48">
        <v>17.600000000000001</v>
      </c>
      <c r="I48" s="7">
        <v>23.2</v>
      </c>
      <c r="J48" s="6">
        <v>179.93</v>
      </c>
      <c r="K48">
        <v>99.4</v>
      </c>
      <c r="L48">
        <v>12.845238639306553</v>
      </c>
      <c r="M48">
        <v>18868.78</v>
      </c>
      <c r="N48">
        <v>263753500</v>
      </c>
      <c r="O48">
        <v>25958300</v>
      </c>
      <c r="P48" s="6">
        <v>39.276165123607818</v>
      </c>
      <c r="Q48" s="7">
        <v>602.76</v>
      </c>
      <c r="R48" s="6">
        <v>-1.3116827011108401</v>
      </c>
      <c r="S48">
        <v>-0.37247639894485501</v>
      </c>
      <c r="T48">
        <v>0.163353562355042</v>
      </c>
      <c r="U48">
        <v>0.13063965737819699</v>
      </c>
      <c r="V48" s="7">
        <v>-0.139015212655067</v>
      </c>
      <c r="W48" s="6">
        <v>0.60774627656548397</v>
      </c>
      <c r="X48">
        <v>46.192999999999998</v>
      </c>
      <c r="Y48">
        <v>0.249</v>
      </c>
      <c r="Z48" s="7">
        <v>7.91</v>
      </c>
      <c r="AA48" s="4">
        <v>382</v>
      </c>
    </row>
    <row r="49" spans="1:27" x14ac:dyDescent="0.3">
      <c r="A49" s="4">
        <v>1304</v>
      </c>
      <c r="B49">
        <v>0.98446886361942632</v>
      </c>
      <c r="C49">
        <v>5822.3777829531437</v>
      </c>
      <c r="D49">
        <v>1.8951418189878</v>
      </c>
      <c r="E49" s="7">
        <v>63.3</v>
      </c>
      <c r="F49" s="4">
        <v>4975455660.4459</v>
      </c>
      <c r="G49">
        <v>8.18</v>
      </c>
      <c r="H49">
        <v>10.029999999999999</v>
      </c>
      <c r="I49" s="7">
        <v>24.4</v>
      </c>
      <c r="J49" s="6">
        <v>183.95</v>
      </c>
      <c r="K49">
        <v>99.5</v>
      </c>
      <c r="L49">
        <v>12.803112358805455</v>
      </c>
      <c r="M49">
        <v>19398.96</v>
      </c>
      <c r="N49">
        <v>272487650</v>
      </c>
      <c r="O49">
        <v>25207514</v>
      </c>
      <c r="P49" s="6">
        <v>39.271467439174771</v>
      </c>
      <c r="Q49" s="7">
        <v>602.27</v>
      </c>
      <c r="R49" s="6">
        <v>-0.90638631582260099</v>
      </c>
      <c r="S49">
        <v>-0.480519980192184</v>
      </c>
      <c r="T49">
        <v>0.25749933719634999</v>
      </c>
      <c r="U49">
        <v>0.17480647563934301</v>
      </c>
      <c r="V49" s="7">
        <v>-0.22025208175182301</v>
      </c>
      <c r="W49" s="6">
        <v>0.548005164899527</v>
      </c>
      <c r="X49">
        <v>46.942999999999998</v>
      </c>
      <c r="Y49">
        <v>0.57599999999999996</v>
      </c>
      <c r="Z49" s="7">
        <v>8.0399999999999991</v>
      </c>
      <c r="AA49" s="4">
        <v>829</v>
      </c>
    </row>
    <row r="50" spans="1:27" x14ac:dyDescent="0.3">
      <c r="A50" s="4">
        <v>1425</v>
      </c>
      <c r="B50">
        <v>3.1340472491163496</v>
      </c>
      <c r="C50">
        <v>5708.7940910579819</v>
      </c>
      <c r="D50">
        <v>-0.90042496329156896</v>
      </c>
      <c r="E50" s="7">
        <v>62.4</v>
      </c>
      <c r="F50" s="4">
        <v>8927579182.1621704</v>
      </c>
      <c r="G50">
        <v>7.77</v>
      </c>
      <c r="H50">
        <v>7.17</v>
      </c>
      <c r="I50" s="7">
        <v>22.6</v>
      </c>
      <c r="J50" s="6">
        <v>189.98</v>
      </c>
      <c r="K50">
        <v>99.6</v>
      </c>
      <c r="L50">
        <v>12.91008748048931</v>
      </c>
      <c r="M50">
        <v>19595.39</v>
      </c>
      <c r="N50">
        <v>277098700</v>
      </c>
      <c r="O50">
        <v>23092220</v>
      </c>
      <c r="P50" s="6">
        <v>39.266769754741723</v>
      </c>
      <c r="Q50" s="7">
        <v>598.04</v>
      </c>
      <c r="R50" s="6">
        <v>-0.995044946670532</v>
      </c>
      <c r="S50">
        <v>-0.55555045604705799</v>
      </c>
      <c r="T50">
        <v>0.23839932680129999</v>
      </c>
      <c r="U50">
        <v>0.19590173661708801</v>
      </c>
      <c r="V50" s="7">
        <v>-0.188147738575935</v>
      </c>
      <c r="W50" s="6">
        <v>0.47549651695853101</v>
      </c>
      <c r="X50">
        <v>47.694000000000003</v>
      </c>
      <c r="Y50">
        <v>0.59699999999999998</v>
      </c>
      <c r="Z50" s="7">
        <v>8.18</v>
      </c>
      <c r="AA50" s="4">
        <v>1304</v>
      </c>
    </row>
    <row r="51" spans="1:27" x14ac:dyDescent="0.3">
      <c r="A51" s="4">
        <v>2451</v>
      </c>
      <c r="B51">
        <v>3.4351577169218217</v>
      </c>
      <c r="C51">
        <v>5854.4639077193979</v>
      </c>
      <c r="D51">
        <v>0.18814970444823401</v>
      </c>
      <c r="E51" s="7">
        <v>63.9</v>
      </c>
      <c r="F51" s="4">
        <v>3486184390.3006902</v>
      </c>
      <c r="G51">
        <v>8.94</v>
      </c>
      <c r="H51">
        <v>18.559999999999999</v>
      </c>
      <c r="I51" s="7">
        <v>22.4</v>
      </c>
      <c r="J51" s="6">
        <v>198.21</v>
      </c>
      <c r="K51">
        <v>99.9</v>
      </c>
      <c r="L51">
        <v>12.793386313026032</v>
      </c>
      <c r="M51">
        <v>19906.96</v>
      </c>
      <c r="N51">
        <v>284045300</v>
      </c>
      <c r="O51">
        <v>24594334</v>
      </c>
      <c r="P51" s="6">
        <v>39.180645540135842</v>
      </c>
      <c r="Q51" s="7">
        <v>596.42999999999995</v>
      </c>
      <c r="R51" s="6">
        <v>-0.99130022525787398</v>
      </c>
      <c r="S51">
        <v>-0.45149761438369801</v>
      </c>
      <c r="T51">
        <v>0.22564327716827401</v>
      </c>
      <c r="U51">
        <v>5.2868694067001301E-2</v>
      </c>
      <c r="V51" s="7">
        <v>-2.8162339702248601E-2</v>
      </c>
      <c r="W51" s="6">
        <v>0.443771939293856</v>
      </c>
      <c r="X51">
        <v>48.448</v>
      </c>
      <c r="Y51">
        <v>0.68799999999999994</v>
      </c>
      <c r="Z51" s="7">
        <v>8.32</v>
      </c>
      <c r="AA51" s="4">
        <v>1425</v>
      </c>
    </row>
    <row r="52" spans="1:27" x14ac:dyDescent="0.3">
      <c r="A52" s="4">
        <v>2702</v>
      </c>
      <c r="B52">
        <v>4.1776810321000966</v>
      </c>
      <c r="C52">
        <v>6436.7896598670259</v>
      </c>
      <c r="D52">
        <v>0.66563189313510596</v>
      </c>
      <c r="E52" s="7">
        <v>66.2</v>
      </c>
      <c r="F52" s="4">
        <v>8285169819.69135</v>
      </c>
      <c r="G52">
        <v>11.11</v>
      </c>
      <c r="H52">
        <v>8.3000000000000007</v>
      </c>
      <c r="I52" s="7">
        <v>22.2</v>
      </c>
      <c r="J52" s="6">
        <v>200.05</v>
      </c>
      <c r="K52">
        <v>99.9</v>
      </c>
      <c r="L52">
        <v>12.33562274897395</v>
      </c>
      <c r="M52">
        <v>20207.599999999999</v>
      </c>
      <c r="N52">
        <v>283347620</v>
      </c>
      <c r="O52">
        <v>25757962</v>
      </c>
      <c r="P52" s="6">
        <v>39.110180273640118</v>
      </c>
      <c r="Q52" s="7">
        <v>584.22</v>
      </c>
      <c r="R52" s="6">
        <v>-0.75487935543060303</v>
      </c>
      <c r="S52">
        <v>-0.44577488303184498</v>
      </c>
      <c r="T52">
        <v>0.257611274719238</v>
      </c>
      <c r="U52">
        <v>7.6896855607628796E-3</v>
      </c>
      <c r="V52" s="7">
        <v>1.36582739651203E-2</v>
      </c>
      <c r="W52" s="6">
        <v>0.41152598020106401</v>
      </c>
      <c r="X52">
        <v>49.2</v>
      </c>
      <c r="Y52">
        <v>0.83</v>
      </c>
      <c r="Z52" s="7">
        <v>8.34</v>
      </c>
      <c r="AA52" s="4">
        <v>2451</v>
      </c>
    </row>
    <row r="53" spans="1:27" x14ac:dyDescent="0.3">
      <c r="A53" s="4">
        <v>2967</v>
      </c>
      <c r="B53">
        <v>4.222870287460708</v>
      </c>
      <c r="C53">
        <v>7124.5588104140306</v>
      </c>
      <c r="D53">
        <v>1.06389754183015</v>
      </c>
      <c r="E53" s="7">
        <v>67.099999999999994</v>
      </c>
      <c r="F53" s="4">
        <v>13747219811.179199</v>
      </c>
      <c r="G53">
        <v>14.36</v>
      </c>
      <c r="H53">
        <v>10.53</v>
      </c>
      <c r="I53" s="7">
        <v>23.7</v>
      </c>
      <c r="J53" s="6">
        <v>203.34</v>
      </c>
      <c r="K53">
        <v>99.8</v>
      </c>
      <c r="L53">
        <v>12.02397218577091</v>
      </c>
      <c r="M53">
        <v>20784.78</v>
      </c>
      <c r="N53">
        <v>288346340</v>
      </c>
      <c r="O53">
        <v>24206020</v>
      </c>
      <c r="P53" s="6">
        <v>39.039715007144395</v>
      </c>
      <c r="Q53" s="7">
        <v>568.69000000000005</v>
      </c>
      <c r="R53" s="6">
        <v>-0.79943454265594505</v>
      </c>
      <c r="S53">
        <v>-0.45801872014999401</v>
      </c>
      <c r="T53">
        <v>0.25447398424148598</v>
      </c>
      <c r="U53">
        <v>-4.40966561436653E-2</v>
      </c>
      <c r="V53" s="7">
        <v>-4.0775607340037797E-3</v>
      </c>
      <c r="W53" s="6">
        <v>0.32332135460702899</v>
      </c>
      <c r="X53">
        <v>49.948999999999998</v>
      </c>
      <c r="Y53">
        <v>0.76600000000000001</v>
      </c>
      <c r="Z53" s="7">
        <v>8.3699999999999992</v>
      </c>
      <c r="AA53" s="4">
        <v>2702</v>
      </c>
    </row>
    <row r="54" spans="1:27" x14ac:dyDescent="0.3">
      <c r="A54" s="4">
        <v>2988</v>
      </c>
      <c r="B54">
        <v>2.1145577962827815</v>
      </c>
      <c r="C54">
        <v>7628.5760330735084</v>
      </c>
      <c r="D54">
        <v>0.70672860131431103</v>
      </c>
      <c r="E54" s="7">
        <v>68.3</v>
      </c>
      <c r="F54" s="4">
        <v>5518708214.4825497</v>
      </c>
      <c r="G54">
        <v>14.86</v>
      </c>
      <c r="H54">
        <v>4.32</v>
      </c>
      <c r="I54" s="7">
        <v>23.9</v>
      </c>
      <c r="J54" s="6">
        <v>209.17</v>
      </c>
      <c r="K54">
        <v>99.9</v>
      </c>
      <c r="L54">
        <v>12.604156107450581</v>
      </c>
      <c r="M54">
        <v>20751.53</v>
      </c>
      <c r="N54">
        <v>281870340</v>
      </c>
      <c r="O54">
        <v>23249862</v>
      </c>
      <c r="P54" s="6">
        <v>38.969249740648671</v>
      </c>
      <c r="Q54" s="7">
        <v>563.08000000000004</v>
      </c>
      <c r="R54" s="6">
        <v>-0.49142050743103</v>
      </c>
      <c r="S54">
        <v>-0.47175952792167702</v>
      </c>
      <c r="T54">
        <v>0.26064547896385198</v>
      </c>
      <c r="U54">
        <v>-2.1945092827081701E-2</v>
      </c>
      <c r="V54" s="7">
        <v>8.8566415011882796E-2</v>
      </c>
      <c r="W54" s="6">
        <v>0.25269123727425102</v>
      </c>
      <c r="X54">
        <v>50.692</v>
      </c>
      <c r="Y54">
        <v>0.71599999999999997</v>
      </c>
      <c r="Z54" s="7">
        <v>8.6999999999999993</v>
      </c>
      <c r="AA54" s="4">
        <v>2967</v>
      </c>
    </row>
    <row r="55" spans="1:27" x14ac:dyDescent="0.3">
      <c r="A55" s="4">
        <v>2984</v>
      </c>
      <c r="B55">
        <v>-6.0500384685162203</v>
      </c>
      <c r="C55">
        <v>7001.8502868367277</v>
      </c>
      <c r="D55">
        <v>-0.84593714735704095</v>
      </c>
      <c r="E55" s="7">
        <v>69.400000000000006</v>
      </c>
      <c r="F55" s="4">
        <v>-4947474466.9795399</v>
      </c>
      <c r="G55">
        <v>14.21</v>
      </c>
      <c r="H55">
        <v>1.22</v>
      </c>
      <c r="I55" s="7">
        <v>20.9</v>
      </c>
      <c r="J55" s="6">
        <v>203.41</v>
      </c>
      <c r="K55">
        <v>100</v>
      </c>
      <c r="L55">
        <v>12.827818805605629</v>
      </c>
      <c r="M55">
        <v>19247.93</v>
      </c>
      <c r="N55">
        <v>271852000</v>
      </c>
      <c r="O55">
        <v>24283644</v>
      </c>
      <c r="P55" s="6">
        <v>38.898784474152947</v>
      </c>
      <c r="Q55" s="7">
        <v>571.4</v>
      </c>
      <c r="R55" s="6">
        <v>-0.57827657461166404</v>
      </c>
      <c r="S55">
        <v>-0.48363754153251598</v>
      </c>
      <c r="T55">
        <v>0.20201408863067599</v>
      </c>
      <c r="U55">
        <v>6.3660755753517206E-2</v>
      </c>
      <c r="V55" s="7">
        <v>0.109724149107933</v>
      </c>
      <c r="W55" s="6">
        <v>0.23518286529113799</v>
      </c>
      <c r="X55">
        <v>51.43</v>
      </c>
      <c r="Y55">
        <v>1.099</v>
      </c>
      <c r="Z55" s="7">
        <v>8.83</v>
      </c>
      <c r="AA55" s="4">
        <v>2988</v>
      </c>
    </row>
    <row r="56" spans="1:27" x14ac:dyDescent="0.3">
      <c r="A56" s="4">
        <v>3065</v>
      </c>
      <c r="B56">
        <v>1.5681817650118575</v>
      </c>
      <c r="C56">
        <v>7070.5125072911187</v>
      </c>
      <c r="D56">
        <v>1.2303954131838399</v>
      </c>
      <c r="E56" s="7">
        <v>69.7</v>
      </c>
      <c r="F56" s="4">
        <v>15158773772.705799</v>
      </c>
      <c r="G56">
        <v>15.01</v>
      </c>
      <c r="H56">
        <v>2.99</v>
      </c>
      <c r="I56" s="7">
        <v>19</v>
      </c>
      <c r="J56" s="6">
        <v>207.75</v>
      </c>
      <c r="K56">
        <v>100</v>
      </c>
      <c r="L56">
        <v>12.716954737851619</v>
      </c>
      <c r="M56">
        <v>19368.560000000001</v>
      </c>
      <c r="N56">
        <v>267219020</v>
      </c>
      <c r="O56">
        <v>24154518</v>
      </c>
      <c r="P56" s="6">
        <v>38.828319207657223</v>
      </c>
      <c r="Q56" s="7">
        <v>566.91</v>
      </c>
      <c r="R56" s="6">
        <v>-0.56872618198394798</v>
      </c>
      <c r="S56">
        <v>-0.47834825515747098</v>
      </c>
      <c r="T56">
        <v>0.22119086980819699</v>
      </c>
      <c r="U56">
        <v>8.3535075187683105E-2</v>
      </c>
      <c r="V56" s="7">
        <v>9.4890400767326397E-2</v>
      </c>
      <c r="W56" s="6">
        <v>0.175345074912752</v>
      </c>
      <c r="X56">
        <v>52.162999999999997</v>
      </c>
      <c r="Y56">
        <v>1.2150000000000001</v>
      </c>
      <c r="Z56" s="7">
        <v>8.83</v>
      </c>
      <c r="AA56" s="4">
        <v>2984</v>
      </c>
    </row>
    <row r="57" spans="1:27" x14ac:dyDescent="0.3">
      <c r="A57" s="4">
        <v>3185</v>
      </c>
      <c r="B57">
        <v>2.4627693405035558</v>
      </c>
      <c r="C57">
        <v>6913.0508052111873</v>
      </c>
      <c r="D57">
        <v>6.0774122843432101</v>
      </c>
      <c r="E57" s="7">
        <v>63.2</v>
      </c>
      <c r="F57" s="4">
        <v>11231916012.2157</v>
      </c>
      <c r="G57">
        <v>15.78</v>
      </c>
      <c r="H57">
        <v>2.0299999999999998</v>
      </c>
      <c r="I57" s="7" t="s">
        <v>31</v>
      </c>
      <c r="J57" s="6">
        <v>212.55</v>
      </c>
      <c r="K57">
        <v>99.9</v>
      </c>
      <c r="L57">
        <v>12.994545677251077</v>
      </c>
      <c r="M57">
        <v>19357.75</v>
      </c>
      <c r="N57">
        <v>270746370</v>
      </c>
      <c r="O57">
        <v>24331598</v>
      </c>
      <c r="P57" s="6" t="s">
        <v>31</v>
      </c>
      <c r="Q57" s="7">
        <v>560.74</v>
      </c>
      <c r="R57" s="6">
        <v>-0.38309931755065901</v>
      </c>
      <c r="S57">
        <v>-0.45219403505325301</v>
      </c>
      <c r="T57">
        <v>0.12828506529331199</v>
      </c>
      <c r="U57">
        <v>0.16501940786838501</v>
      </c>
      <c r="V57" s="7">
        <v>6.7307785153389005E-2</v>
      </c>
      <c r="W57" s="6">
        <v>0.133884527761643</v>
      </c>
      <c r="X57">
        <v>52.889000000000003</v>
      </c>
      <c r="Y57">
        <v>0.94</v>
      </c>
      <c r="Z57" s="7">
        <v>8.83</v>
      </c>
      <c r="AA57" s="4">
        <v>3065</v>
      </c>
    </row>
    <row r="58" spans="1:27" ht="15" thickBot="1" x14ac:dyDescent="0.35">
      <c r="A58" s="12">
        <v>3186</v>
      </c>
      <c r="B58" s="15">
        <v>1.8828174606631478</v>
      </c>
      <c r="C58" s="15">
        <v>7171.8080931897821</v>
      </c>
      <c r="D58" s="15">
        <v>1.22802623546169</v>
      </c>
      <c r="E58" s="16">
        <v>60.6</v>
      </c>
      <c r="F58" s="12">
        <v>3086425197.5518999</v>
      </c>
      <c r="G58" s="15">
        <v>15.62</v>
      </c>
      <c r="H58" s="15">
        <v>0.83</v>
      </c>
      <c r="I58" s="16" t="s">
        <v>31</v>
      </c>
      <c r="J58" s="17">
        <v>219.84</v>
      </c>
      <c r="K58" s="15" t="s">
        <v>31</v>
      </c>
      <c r="L58" s="15">
        <v>13.696335229111096</v>
      </c>
      <c r="M58" s="15">
        <v>19370.3</v>
      </c>
      <c r="N58" s="15" t="s">
        <v>31</v>
      </c>
      <c r="O58" s="15" t="s">
        <v>31</v>
      </c>
      <c r="P58" s="6" t="s">
        <v>31</v>
      </c>
      <c r="Q58" s="16">
        <v>549.58000000000004</v>
      </c>
      <c r="R58" s="16" t="s">
        <v>31</v>
      </c>
      <c r="S58" s="16" t="s">
        <v>31</v>
      </c>
      <c r="T58" s="16" t="s">
        <v>31</v>
      </c>
      <c r="U58" s="16" t="s">
        <v>31</v>
      </c>
      <c r="V58" s="16" t="s">
        <v>31</v>
      </c>
      <c r="W58" s="17">
        <v>0.14529651125027501</v>
      </c>
      <c r="X58" s="15">
        <v>53.607999999999997</v>
      </c>
      <c r="Y58" s="15">
        <v>0.91300000000000003</v>
      </c>
      <c r="Z58" s="16" t="s">
        <v>31</v>
      </c>
      <c r="AA58" s="4">
        <v>3185</v>
      </c>
    </row>
    <row r="59" spans="1:27" ht="15" thickBot="1" x14ac:dyDescent="0.35">
      <c r="AA59" s="12">
        <v>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2024-12-08T08:23:20Z</dcterms:created>
  <dcterms:modified xsi:type="dcterms:W3CDTF">2025-02-12T09:04:29Z</dcterms:modified>
</cp:coreProperties>
</file>